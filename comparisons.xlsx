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yothi\Chemistry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1" i="1" l="1"/>
  <c r="J68" i="1"/>
  <c r="J48" i="1"/>
  <c r="J27" i="1"/>
  <c r="J14" i="1"/>
  <c r="J3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6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48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7" i="1"/>
  <c r="I15" i="1"/>
  <c r="I16" i="1"/>
  <c r="I17" i="1"/>
  <c r="I18" i="1"/>
  <c r="I19" i="1"/>
  <c r="I20" i="1"/>
  <c r="I21" i="1"/>
  <c r="I22" i="1"/>
  <c r="I23" i="1"/>
  <c r="I24" i="1"/>
  <c r="I25" i="1"/>
  <c r="I14" i="1"/>
  <c r="I4" i="1"/>
  <c r="I5" i="1"/>
  <c r="I6" i="1"/>
  <c r="I7" i="1"/>
  <c r="I8" i="1"/>
  <c r="I9" i="1"/>
  <c r="I10" i="1"/>
  <c r="I11" i="1"/>
  <c r="I12" i="1"/>
  <c r="I3" i="1"/>
</calcChain>
</file>

<file path=xl/sharedStrings.xml><?xml version="1.0" encoding="utf-8"?>
<sst xmlns="http://schemas.openxmlformats.org/spreadsheetml/2006/main" count="199" uniqueCount="189">
  <si>
    <t>1ml</t>
  </si>
  <si>
    <t>#9A9182</t>
  </si>
  <si>
    <t>#634A3E</t>
  </si>
  <si>
    <t>#3CA0B4</t>
  </si>
  <si>
    <t>#21A3BB</t>
  </si>
  <si>
    <t>#7F5C46</t>
  </si>
  <si>
    <t>#1AA0C9</t>
  </si>
  <si>
    <t>#0279A4</t>
  </si>
  <si>
    <t>#0187C1</t>
  </si>
  <si>
    <t>#6B6665</t>
  </si>
  <si>
    <t>#7D706D</t>
  </si>
  <si>
    <t>actual colour</t>
  </si>
  <si>
    <t>actual abs</t>
  </si>
  <si>
    <t>conc</t>
  </si>
  <si>
    <t>volume</t>
  </si>
  <si>
    <t>predicted abs</t>
  </si>
  <si>
    <t>predicted colour</t>
  </si>
  <si>
    <t>#67A1A1</t>
  </si>
  <si>
    <t>#84A796</t>
  </si>
  <si>
    <t>#3FA9A2</t>
  </si>
  <si>
    <t>#3BA0A1</t>
  </si>
  <si>
    <t>#389FA0</t>
  </si>
  <si>
    <t>#407E92</t>
  </si>
  <si>
    <t>#3589A0</t>
  </si>
  <si>
    <t>#35809F</t>
  </si>
  <si>
    <t>#3A7C99</t>
  </si>
  <si>
    <t>#567280</t>
  </si>
  <si>
    <t>2ml</t>
  </si>
  <si>
    <t>#9A9185</t>
  </si>
  <si>
    <t>#78BDBF</t>
  </si>
  <si>
    <t>#4BB0BF</t>
  </si>
  <si>
    <t>#2AADC4</t>
  </si>
  <si>
    <t>#1FABBF</t>
  </si>
  <si>
    <t>#02A1BE</t>
  </si>
  <si>
    <t>#02A2C8</t>
  </si>
  <si>
    <t>#0396BB</t>
  </si>
  <si>
    <t>#0391C2</t>
  </si>
  <si>
    <t>#1594C4</t>
  </si>
  <si>
    <t>#008ABB</t>
  </si>
  <si>
    <t>#0084C3</t>
  </si>
  <si>
    <t>#267AA0</t>
  </si>
  <si>
    <t>#9C8F85</t>
  </si>
  <si>
    <t>#84A9A9</t>
  </si>
  <si>
    <t>#66A2C1</t>
  </si>
  <si>
    <t>#31AAC2</t>
  </si>
  <si>
    <t>#1DA9C0</t>
  </si>
  <si>
    <t>#05A1BE</t>
  </si>
  <si>
    <t>#03A0C2</t>
  </si>
  <si>
    <t>#039ABE</t>
  </si>
  <si>
    <t>#0491C1</t>
  </si>
  <si>
    <t>#0F90C0</t>
  </si>
  <si>
    <t>#0782B5</t>
  </si>
  <si>
    <t>3ml</t>
  </si>
  <si>
    <t>#98A8A2</t>
  </si>
  <si>
    <t>#907C65</t>
  </si>
  <si>
    <t>#77BAC0</t>
  </si>
  <si>
    <t>#67BDC7</t>
  </si>
  <si>
    <t>#906F5A</t>
  </si>
  <si>
    <t>#37B2C5</t>
  </si>
  <si>
    <t>#30AEBF</t>
  </si>
  <si>
    <t>#11A0B7</t>
  </si>
  <si>
    <t>#01A9CA</t>
  </si>
  <si>
    <t>#009CBC</t>
  </si>
  <si>
    <t>#009ABD</t>
  </si>
  <si>
    <t>#0099C3</t>
  </si>
  <si>
    <t>#008EB8</t>
  </si>
  <si>
    <t>#008FBD</t>
  </si>
  <si>
    <t>#0090C0</t>
  </si>
  <si>
    <t>#0087BB</t>
  </si>
  <si>
    <t>#2980A2</t>
  </si>
  <si>
    <t>#0089BE</t>
  </si>
  <si>
    <t>#0078B2</t>
  </si>
  <si>
    <t>#207BA4</t>
  </si>
  <si>
    <t>#63A3C0</t>
  </si>
  <si>
    <t>#9E9F98</t>
  </si>
  <si>
    <t>#8C6F67</t>
  </si>
  <si>
    <t>#69AFAE</t>
  </si>
  <si>
    <t>#75ADA2</t>
  </si>
  <si>
    <t>#709DA1</t>
  </si>
  <si>
    <t>#2EAAC0</t>
  </si>
  <si>
    <t>#27A9C0</t>
  </si>
  <si>
    <t>#1DA7BE</t>
  </si>
  <si>
    <t>#029EBD</t>
  </si>
  <si>
    <t>#0098C1</t>
  </si>
  <si>
    <t>#0094BC</t>
  </si>
  <si>
    <t>#008CBD</t>
  </si>
  <si>
    <t>#018FBE</t>
  </si>
  <si>
    <t>#018CBD</t>
  </si>
  <si>
    <t>#1288B3</t>
  </si>
  <si>
    <t>#0785B6</t>
  </si>
  <si>
    <t>#097EAE</t>
  </si>
  <si>
    <t>#0E7EAE</t>
  </si>
  <si>
    <t>∆ abs</t>
  </si>
  <si>
    <t>4ml</t>
  </si>
  <si>
    <t>#BDB8AC</t>
  </si>
  <si>
    <t>#A4BFBB</t>
  </si>
  <si>
    <t>#050F17</t>
  </si>
  <si>
    <t>#7CBBBB</t>
  </si>
  <si>
    <t>#6BB8C3</t>
  </si>
  <si>
    <t>#5EB7BF</t>
  </si>
  <si>
    <t>#48B3C2</t>
  </si>
  <si>
    <t>#30AEC0</t>
  </si>
  <si>
    <t>#26AABF</t>
  </si>
  <si>
    <t>#12ADC5</t>
  </si>
  <si>
    <t>#02A7C5</t>
  </si>
  <si>
    <t>#00A8C8</t>
  </si>
  <si>
    <t>#009EC0</t>
  </si>
  <si>
    <t>#009CBF</t>
  </si>
  <si>
    <t>#019FC6</t>
  </si>
  <si>
    <t>#0893C3</t>
  </si>
  <si>
    <t>#0097CF</t>
  </si>
  <si>
    <t>#0087C2</t>
  </si>
  <si>
    <t>#008DCB</t>
  </si>
  <si>
    <t>#64B6C0</t>
  </si>
  <si>
    <t>#9FA89F</t>
  </si>
  <si>
    <t>#5F776E</t>
  </si>
  <si>
    <t>#71B7B3</t>
  </si>
  <si>
    <t>#6AB6BE</t>
  </si>
  <si>
    <t>#4DB1C1</t>
  </si>
  <si>
    <t>#32B0C1</t>
  </si>
  <si>
    <t>#2AACC1</t>
  </si>
  <si>
    <t>#1BABC2</t>
  </si>
  <si>
    <t>#1AAAC0</t>
  </si>
  <si>
    <t>#09A1C0</t>
  </si>
  <si>
    <t>#009EC2</t>
  </si>
  <si>
    <t>#009CC5</t>
  </si>
  <si>
    <t>#009CC2</t>
  </si>
  <si>
    <t>#0092C8</t>
  </si>
  <si>
    <t>#0489C3</t>
  </si>
  <si>
    <t>#0489C6</t>
  </si>
  <si>
    <t>5ml</t>
  </si>
  <si>
    <t>#121A1E</t>
  </si>
  <si>
    <t>#081018</t>
  </si>
  <si>
    <t>#89BBB8</t>
  </si>
  <si>
    <t>#73B4BA</t>
  </si>
  <si>
    <t>#72B9BA</t>
  </si>
  <si>
    <t>#5EB8C2</t>
  </si>
  <si>
    <t>#5ABAC3</t>
  </si>
  <si>
    <t>#54B4BC</t>
  </si>
  <si>
    <t>#3BB5C7</t>
  </si>
  <si>
    <t>#36B4C4</t>
  </si>
  <si>
    <t>#29A9BB</t>
  </si>
  <si>
    <t>#26A9BB</t>
  </si>
  <si>
    <t>#03A7BF</t>
  </si>
  <si>
    <t>#01A2BB</t>
  </si>
  <si>
    <t>#01A7C3</t>
  </si>
  <si>
    <t>#00A7C5</t>
  </si>
  <si>
    <t>#00A1C1</t>
  </si>
  <si>
    <t>#00A2C2</t>
  </si>
  <si>
    <t>#009FC2</t>
  </si>
  <si>
    <t>#0099BC</t>
  </si>
  <si>
    <t>#0097C0</t>
  </si>
  <si>
    <t>#00A1CE</t>
  </si>
  <si>
    <t>#009BCC</t>
  </si>
  <si>
    <t>#0093C0</t>
  </si>
  <si>
    <t>#009ED0</t>
  </si>
  <si>
    <t>#0093C8</t>
  </si>
  <si>
    <t>#0093C9</t>
  </si>
  <si>
    <t>#0083CA</t>
  </si>
  <si>
    <t>#0084CD</t>
  </si>
  <si>
    <t>#8B796E</t>
  </si>
  <si>
    <t>#607A72</t>
  </si>
  <si>
    <t>#70B6BB</t>
  </si>
  <si>
    <t>#6EB7BB</t>
  </si>
  <si>
    <t>#68B8BF</t>
  </si>
  <si>
    <t>#4EB3C1</t>
  </si>
  <si>
    <t>#47B3C0</t>
  </si>
  <si>
    <t>#37B3C3</t>
  </si>
  <si>
    <t>#2FB0C3</t>
  </si>
  <si>
    <t>#24ABBF</t>
  </si>
  <si>
    <t>#17A9C0</t>
  </si>
  <si>
    <t>#0BA7C0</t>
  </si>
  <si>
    <t>#01A4C0</t>
  </si>
  <si>
    <t>#01A5C2</t>
  </si>
  <si>
    <t>#00A4C3</t>
  </si>
  <si>
    <t>#00A2C1</t>
  </si>
  <si>
    <t>#0093C5</t>
  </si>
  <si>
    <t>#0099C5</t>
  </si>
  <si>
    <t>#009BCA</t>
  </si>
  <si>
    <t>#049ACB</t>
  </si>
  <si>
    <t>#0591C9</t>
  </si>
  <si>
    <t>#0298CB</t>
  </si>
  <si>
    <t>#0495C8</t>
  </si>
  <si>
    <t>#038CC7</t>
  </si>
  <si>
    <t>#0489C7</t>
  </si>
  <si>
    <t>#0484C6</t>
  </si>
  <si>
    <t>avg error</t>
  </si>
  <si>
    <t>Total Error</t>
  </si>
  <si>
    <t>wl(nm)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</si>
</sst>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1"/>
      <color rgb="FFFFFFFF"/>
      <name val="Arial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Dutch801 Rm BT"/>
      <family val="1"/>
    </font>
  </fonts>
  <fills count="178">
    <fill>
      <patternFill patternType="none"/>
    </fill>
    <fill>
      <patternFill patternType="gray125"/>
    </fill>
    <fill>
      <patternFill patternType="solid">
        <fgColor rgb="FF9A9182"/>
      </patternFill>
    </fill>
    <fill>
      <patternFill patternType="solid">
        <fgColor rgb="FF634A3E"/>
      </patternFill>
    </fill>
    <fill>
      <patternFill patternType="solid">
        <fgColor rgb="FF3CA0B4"/>
      </patternFill>
    </fill>
    <fill>
      <patternFill patternType="solid">
        <fgColor rgb="FF21A3BB"/>
      </patternFill>
    </fill>
    <fill>
      <patternFill patternType="solid">
        <fgColor rgb="FF7F5C46"/>
      </patternFill>
    </fill>
    <fill>
      <patternFill patternType="solid">
        <fgColor rgb="FF1AA0C9"/>
      </patternFill>
    </fill>
    <fill>
      <patternFill patternType="solid">
        <fgColor rgb="FF0279A4"/>
      </patternFill>
    </fill>
    <fill>
      <patternFill patternType="solid">
        <fgColor rgb="FF0187C1"/>
      </patternFill>
    </fill>
    <fill>
      <patternFill patternType="solid">
        <fgColor rgb="FF6B6665"/>
      </patternFill>
    </fill>
    <fill>
      <patternFill patternType="solid">
        <fgColor rgb="FF7D706D"/>
      </patternFill>
    </fill>
    <fill>
      <patternFill patternType="solid">
        <fgColor rgb="FF67A1A1"/>
        <bgColor indexed="64"/>
      </patternFill>
    </fill>
    <fill>
      <patternFill patternType="solid">
        <fgColor rgb="FF84A796"/>
        <bgColor indexed="64"/>
      </patternFill>
    </fill>
    <fill>
      <patternFill patternType="solid">
        <fgColor rgb="FF3FA9A2"/>
        <bgColor indexed="64"/>
      </patternFill>
    </fill>
    <fill>
      <patternFill patternType="solid">
        <fgColor rgb="FF3BA0A1"/>
        <bgColor indexed="64"/>
      </patternFill>
    </fill>
    <fill>
      <patternFill patternType="solid">
        <fgColor rgb="FF389FA0"/>
        <bgColor indexed="64"/>
      </patternFill>
    </fill>
    <fill>
      <patternFill patternType="solid">
        <fgColor rgb="FF407E92"/>
        <bgColor indexed="64"/>
      </patternFill>
    </fill>
    <fill>
      <patternFill patternType="solid">
        <fgColor rgb="FF3589A0"/>
        <bgColor indexed="64"/>
      </patternFill>
    </fill>
    <fill>
      <patternFill patternType="solid">
        <fgColor rgb="FF35809F"/>
        <bgColor indexed="64"/>
      </patternFill>
    </fill>
    <fill>
      <patternFill patternType="solid">
        <fgColor rgb="FF3A7C99"/>
        <bgColor indexed="64"/>
      </patternFill>
    </fill>
    <fill>
      <patternFill patternType="solid">
        <fgColor rgb="FF567280"/>
        <bgColor indexed="64"/>
      </patternFill>
    </fill>
    <fill>
      <patternFill patternType="solid">
        <fgColor rgb="FF9A9185"/>
      </patternFill>
    </fill>
    <fill>
      <patternFill patternType="solid">
        <fgColor rgb="FF78BDBF"/>
      </patternFill>
    </fill>
    <fill>
      <patternFill patternType="solid">
        <fgColor rgb="FF4BB0BF"/>
      </patternFill>
    </fill>
    <fill>
      <patternFill patternType="solid">
        <fgColor rgb="FF2AADC4"/>
      </patternFill>
    </fill>
    <fill>
      <patternFill patternType="solid">
        <fgColor rgb="FF1FABBF"/>
      </patternFill>
    </fill>
    <fill>
      <patternFill patternType="solid">
        <fgColor rgb="FF02A1BE"/>
      </patternFill>
    </fill>
    <fill>
      <patternFill patternType="solid">
        <fgColor rgb="FF02A2C8"/>
      </patternFill>
    </fill>
    <fill>
      <patternFill patternType="solid">
        <fgColor rgb="FF0396BB"/>
      </patternFill>
    </fill>
    <fill>
      <patternFill patternType="solid">
        <fgColor rgb="FF0391C2"/>
      </patternFill>
    </fill>
    <fill>
      <patternFill patternType="solid">
        <fgColor rgb="FF1594C4"/>
      </patternFill>
    </fill>
    <fill>
      <patternFill patternType="solid">
        <fgColor rgb="FF008ABB"/>
      </patternFill>
    </fill>
    <fill>
      <patternFill patternType="solid">
        <fgColor rgb="FF0084C3"/>
      </patternFill>
    </fill>
    <fill>
      <patternFill patternType="solid">
        <fgColor rgb="FF267AA0"/>
        <bgColor indexed="64"/>
      </patternFill>
    </fill>
    <fill>
      <patternFill patternType="solid">
        <fgColor rgb="FF9C8F85"/>
        <bgColor indexed="64"/>
      </patternFill>
    </fill>
    <fill>
      <patternFill patternType="solid">
        <fgColor rgb="FF84A9A9"/>
        <bgColor indexed="64"/>
      </patternFill>
    </fill>
    <fill>
      <patternFill patternType="solid">
        <fgColor rgb="FF66A2C1"/>
        <bgColor indexed="64"/>
      </patternFill>
    </fill>
    <fill>
      <patternFill patternType="solid">
        <fgColor rgb="FF31AAC2"/>
        <bgColor indexed="64"/>
      </patternFill>
    </fill>
    <fill>
      <patternFill patternType="solid">
        <fgColor rgb="FF1DA9C0"/>
        <bgColor indexed="64"/>
      </patternFill>
    </fill>
    <fill>
      <patternFill patternType="solid">
        <fgColor rgb="FF05A1BE"/>
        <bgColor indexed="64"/>
      </patternFill>
    </fill>
    <fill>
      <patternFill patternType="solid">
        <fgColor rgb="FF03A0C2"/>
        <bgColor indexed="64"/>
      </patternFill>
    </fill>
    <fill>
      <patternFill patternType="solid">
        <fgColor rgb="FF039ABE"/>
        <bgColor indexed="64"/>
      </patternFill>
    </fill>
    <fill>
      <patternFill patternType="solid">
        <fgColor rgb="FF0491C1"/>
        <bgColor indexed="64"/>
      </patternFill>
    </fill>
    <fill>
      <patternFill patternType="solid">
        <fgColor rgb="FF0F90C0"/>
        <bgColor indexed="64"/>
      </patternFill>
    </fill>
    <fill>
      <patternFill patternType="solid">
        <fgColor rgb="FF0782B5"/>
        <bgColor indexed="64"/>
      </patternFill>
    </fill>
    <fill>
      <patternFill patternType="solid">
        <fgColor rgb="FF98A8A2"/>
      </patternFill>
    </fill>
    <fill>
      <patternFill patternType="solid">
        <fgColor rgb="FF907C65"/>
      </patternFill>
    </fill>
    <fill>
      <patternFill patternType="solid">
        <fgColor rgb="FF77BAC0"/>
      </patternFill>
    </fill>
    <fill>
      <patternFill patternType="solid">
        <fgColor rgb="FF67BDC7"/>
      </patternFill>
    </fill>
    <fill>
      <patternFill patternType="solid">
        <fgColor rgb="FF906F5A"/>
      </patternFill>
    </fill>
    <fill>
      <patternFill patternType="solid">
        <fgColor rgb="FF37B2C5"/>
      </patternFill>
    </fill>
    <fill>
      <patternFill patternType="solid">
        <fgColor rgb="FF30AEBF"/>
      </patternFill>
    </fill>
    <fill>
      <patternFill patternType="solid">
        <fgColor rgb="FF11A0B7"/>
      </patternFill>
    </fill>
    <fill>
      <patternFill patternType="solid">
        <fgColor rgb="FF01A9CA"/>
      </patternFill>
    </fill>
    <fill>
      <patternFill patternType="solid">
        <fgColor rgb="FF009CBC"/>
      </patternFill>
    </fill>
    <fill>
      <patternFill patternType="solid">
        <fgColor rgb="FF009ABD"/>
      </patternFill>
    </fill>
    <fill>
      <patternFill patternType="solid">
        <fgColor rgb="FF0099C3"/>
      </patternFill>
    </fill>
    <fill>
      <patternFill patternType="solid">
        <fgColor rgb="FF008EB8"/>
      </patternFill>
    </fill>
    <fill>
      <patternFill patternType="solid">
        <fgColor rgb="FF008FBD"/>
      </patternFill>
    </fill>
    <fill>
      <patternFill patternType="solid">
        <fgColor rgb="FF0090C0"/>
      </patternFill>
    </fill>
    <fill>
      <patternFill patternType="solid">
        <fgColor rgb="FF0087BB"/>
      </patternFill>
    </fill>
    <fill>
      <patternFill patternType="solid">
        <fgColor rgb="FF2980A2"/>
      </patternFill>
    </fill>
    <fill>
      <patternFill patternType="solid">
        <fgColor rgb="FF0089BE"/>
      </patternFill>
    </fill>
    <fill>
      <patternFill patternType="solid">
        <fgColor rgb="FF0078B2"/>
      </patternFill>
    </fill>
    <fill>
      <patternFill patternType="solid">
        <fgColor rgb="FF207BA4"/>
      </patternFill>
    </fill>
    <fill>
      <patternFill patternType="solid">
        <fgColor rgb="FF63A3C0"/>
        <bgColor indexed="64"/>
      </patternFill>
    </fill>
    <fill>
      <patternFill patternType="solid">
        <fgColor rgb="FF9E9F98"/>
        <bgColor indexed="64"/>
      </patternFill>
    </fill>
    <fill>
      <patternFill patternType="solid">
        <fgColor rgb="FF8C6F67"/>
        <bgColor indexed="64"/>
      </patternFill>
    </fill>
    <fill>
      <patternFill patternType="solid">
        <fgColor rgb="FF69AFAE"/>
        <bgColor indexed="64"/>
      </patternFill>
    </fill>
    <fill>
      <patternFill patternType="solid">
        <fgColor rgb="FF75ADA2"/>
        <bgColor indexed="64"/>
      </patternFill>
    </fill>
    <fill>
      <patternFill patternType="solid">
        <fgColor rgb="FF709DA1"/>
        <bgColor indexed="64"/>
      </patternFill>
    </fill>
    <fill>
      <patternFill patternType="solid">
        <fgColor rgb="FF2EAAC0"/>
        <bgColor indexed="64"/>
      </patternFill>
    </fill>
    <fill>
      <patternFill patternType="solid">
        <fgColor rgb="FF27A9C0"/>
        <bgColor indexed="64"/>
      </patternFill>
    </fill>
    <fill>
      <patternFill patternType="solid">
        <fgColor rgb="FF1DA7BE"/>
        <bgColor indexed="64"/>
      </patternFill>
    </fill>
    <fill>
      <patternFill patternType="solid">
        <fgColor rgb="FF029EBD"/>
        <bgColor indexed="64"/>
      </patternFill>
    </fill>
    <fill>
      <patternFill patternType="solid">
        <fgColor rgb="FF0098C1"/>
        <bgColor indexed="64"/>
      </patternFill>
    </fill>
    <fill>
      <patternFill patternType="solid">
        <fgColor rgb="FF0094BC"/>
        <bgColor indexed="64"/>
      </patternFill>
    </fill>
    <fill>
      <patternFill patternType="solid">
        <fgColor rgb="FF008CBD"/>
        <bgColor indexed="64"/>
      </patternFill>
    </fill>
    <fill>
      <patternFill patternType="solid">
        <fgColor rgb="FF018FBE"/>
        <bgColor indexed="64"/>
      </patternFill>
    </fill>
    <fill>
      <patternFill patternType="solid">
        <fgColor rgb="FF018CBD"/>
        <bgColor indexed="64"/>
      </patternFill>
    </fill>
    <fill>
      <patternFill patternType="solid">
        <fgColor rgb="FF1288B3"/>
        <bgColor indexed="64"/>
      </patternFill>
    </fill>
    <fill>
      <patternFill patternType="solid">
        <fgColor rgb="FF0785B6"/>
        <bgColor indexed="64"/>
      </patternFill>
    </fill>
    <fill>
      <patternFill patternType="solid">
        <fgColor rgb="FF097EAE"/>
        <bgColor indexed="64"/>
      </patternFill>
    </fill>
    <fill>
      <patternFill patternType="solid">
        <fgColor rgb="FF0E7EAE"/>
        <bgColor indexed="64"/>
      </patternFill>
    </fill>
    <fill>
      <patternFill patternType="solid">
        <fgColor rgb="FFBDB8AC"/>
      </patternFill>
    </fill>
    <fill>
      <patternFill patternType="solid">
        <fgColor rgb="FFA4BFBB"/>
      </patternFill>
    </fill>
    <fill>
      <patternFill patternType="solid">
        <fgColor rgb="FF050F17"/>
      </patternFill>
    </fill>
    <fill>
      <patternFill patternType="solid">
        <fgColor rgb="FF7CBBBB"/>
      </patternFill>
    </fill>
    <fill>
      <patternFill patternType="solid">
        <fgColor rgb="FF6BB8C3"/>
      </patternFill>
    </fill>
    <fill>
      <patternFill patternType="solid">
        <fgColor rgb="FF5EB7BF"/>
      </patternFill>
    </fill>
    <fill>
      <patternFill patternType="solid">
        <fgColor rgb="FF48B3C2"/>
      </patternFill>
    </fill>
    <fill>
      <patternFill patternType="solid">
        <fgColor rgb="FF30AEC0"/>
      </patternFill>
    </fill>
    <fill>
      <patternFill patternType="solid">
        <fgColor rgb="FF26AABF"/>
      </patternFill>
    </fill>
    <fill>
      <patternFill patternType="solid">
        <fgColor rgb="FF12ADC5"/>
      </patternFill>
    </fill>
    <fill>
      <patternFill patternType="solid">
        <fgColor rgb="FF02A7C5"/>
      </patternFill>
    </fill>
    <fill>
      <patternFill patternType="solid">
        <fgColor rgb="FF00A8C8"/>
      </patternFill>
    </fill>
    <fill>
      <patternFill patternType="solid">
        <fgColor rgb="FF009EC0"/>
      </patternFill>
    </fill>
    <fill>
      <patternFill patternType="solid">
        <fgColor rgb="FF009CBF"/>
      </patternFill>
    </fill>
    <fill>
      <patternFill patternType="solid">
        <fgColor rgb="FF019FC6"/>
      </patternFill>
    </fill>
    <fill>
      <patternFill patternType="solid">
        <fgColor rgb="FF0893C3"/>
      </patternFill>
    </fill>
    <fill>
      <patternFill patternType="solid">
        <fgColor rgb="FF0097CF"/>
      </patternFill>
    </fill>
    <fill>
      <patternFill patternType="solid">
        <fgColor rgb="FF0087C2"/>
      </patternFill>
    </fill>
    <fill>
      <patternFill patternType="solid">
        <fgColor rgb="FF008DCB"/>
      </patternFill>
    </fill>
    <fill>
      <patternFill patternType="solid">
        <fgColor rgb="FF64B6C0"/>
        <bgColor indexed="64"/>
      </patternFill>
    </fill>
    <fill>
      <patternFill patternType="solid">
        <fgColor rgb="FF9FA89F"/>
        <bgColor indexed="64"/>
      </patternFill>
    </fill>
    <fill>
      <patternFill patternType="solid">
        <fgColor rgb="FF5F776E"/>
        <bgColor indexed="64"/>
      </patternFill>
    </fill>
    <fill>
      <patternFill patternType="solid">
        <fgColor rgb="FF71B7B3"/>
        <bgColor indexed="64"/>
      </patternFill>
    </fill>
    <fill>
      <patternFill patternType="solid">
        <fgColor rgb="FF6AB6BE"/>
        <bgColor indexed="64"/>
      </patternFill>
    </fill>
    <fill>
      <patternFill patternType="solid">
        <fgColor rgb="FF4DB1C1"/>
        <bgColor indexed="64"/>
      </patternFill>
    </fill>
    <fill>
      <patternFill patternType="solid">
        <fgColor rgb="FF32B0C1"/>
        <bgColor indexed="64"/>
      </patternFill>
    </fill>
    <fill>
      <patternFill patternType="solid">
        <fgColor rgb="FF2AACC1"/>
        <bgColor indexed="64"/>
      </patternFill>
    </fill>
    <fill>
      <patternFill patternType="solid">
        <fgColor rgb="FF1BABC2"/>
        <bgColor indexed="64"/>
      </patternFill>
    </fill>
    <fill>
      <patternFill patternType="solid">
        <fgColor rgb="FF1AAAC0"/>
        <bgColor indexed="64"/>
      </patternFill>
    </fill>
    <fill>
      <patternFill patternType="solid">
        <fgColor rgb="FF09A1C0"/>
        <bgColor indexed="64"/>
      </patternFill>
    </fill>
    <fill>
      <patternFill patternType="solid">
        <fgColor rgb="FF009EC0"/>
        <bgColor indexed="64"/>
      </patternFill>
    </fill>
    <fill>
      <patternFill patternType="solid">
        <fgColor rgb="FF009EC2"/>
        <bgColor indexed="64"/>
      </patternFill>
    </fill>
    <fill>
      <patternFill patternType="solid">
        <fgColor rgb="FF009CC5"/>
        <bgColor indexed="64"/>
      </patternFill>
    </fill>
    <fill>
      <patternFill patternType="solid">
        <fgColor rgb="FF009CC2"/>
        <bgColor indexed="64"/>
      </patternFill>
    </fill>
    <fill>
      <patternFill patternType="solid">
        <fgColor rgb="FF0092C8"/>
        <bgColor indexed="64"/>
      </patternFill>
    </fill>
    <fill>
      <patternFill patternType="solid">
        <fgColor rgb="FF0489C3"/>
        <bgColor indexed="64"/>
      </patternFill>
    </fill>
    <fill>
      <patternFill patternType="solid">
        <fgColor rgb="FF0489C6"/>
        <bgColor indexed="64"/>
      </patternFill>
    </fill>
    <fill>
      <patternFill patternType="solid">
        <fgColor rgb="FF121A1E"/>
      </patternFill>
    </fill>
    <fill>
      <patternFill patternType="solid">
        <fgColor rgb="FF081018"/>
      </patternFill>
    </fill>
    <fill>
      <patternFill patternType="solid">
        <fgColor rgb="FF89BBB8"/>
      </patternFill>
    </fill>
    <fill>
      <patternFill patternType="solid">
        <fgColor rgb="FF73B4BA"/>
      </patternFill>
    </fill>
    <fill>
      <patternFill patternType="solid">
        <fgColor rgb="FF72B9BA"/>
      </patternFill>
    </fill>
    <fill>
      <patternFill patternType="solid">
        <fgColor rgb="FF5EB8C2"/>
      </patternFill>
    </fill>
    <fill>
      <patternFill patternType="solid">
        <fgColor rgb="FF5ABAC3"/>
      </patternFill>
    </fill>
    <fill>
      <patternFill patternType="solid">
        <fgColor rgb="FF54B4BC"/>
      </patternFill>
    </fill>
    <fill>
      <patternFill patternType="solid">
        <fgColor rgb="FF3BB5C7"/>
      </patternFill>
    </fill>
    <fill>
      <patternFill patternType="solid">
        <fgColor rgb="FF36B4C4"/>
      </patternFill>
    </fill>
    <fill>
      <patternFill patternType="solid">
        <fgColor rgb="FF29A9BB"/>
      </patternFill>
    </fill>
    <fill>
      <patternFill patternType="solid">
        <fgColor rgb="FF26A9BB"/>
      </patternFill>
    </fill>
    <fill>
      <patternFill patternType="solid">
        <fgColor rgb="FF03A7BF"/>
      </patternFill>
    </fill>
    <fill>
      <patternFill patternType="solid">
        <fgColor rgb="FF01A2BB"/>
      </patternFill>
    </fill>
    <fill>
      <patternFill patternType="solid">
        <fgColor rgb="FF01A7C3"/>
      </patternFill>
    </fill>
    <fill>
      <patternFill patternType="solid">
        <fgColor rgb="FF00A7C5"/>
      </patternFill>
    </fill>
    <fill>
      <patternFill patternType="solid">
        <fgColor rgb="FF00A1C1"/>
      </patternFill>
    </fill>
    <fill>
      <patternFill patternType="solid">
        <fgColor rgb="FF00A2C2"/>
      </patternFill>
    </fill>
    <fill>
      <patternFill patternType="solid">
        <fgColor rgb="FF009FC2"/>
      </patternFill>
    </fill>
    <fill>
      <patternFill patternType="solid">
        <fgColor rgb="FF0099BC"/>
      </patternFill>
    </fill>
    <fill>
      <patternFill patternType="solid">
        <fgColor rgb="FF0097C0"/>
      </patternFill>
    </fill>
    <fill>
      <patternFill patternType="solid">
        <fgColor rgb="FF00A1CE"/>
      </patternFill>
    </fill>
    <fill>
      <patternFill patternType="solid">
        <fgColor rgb="FF009BCC"/>
      </patternFill>
    </fill>
    <fill>
      <patternFill patternType="solid">
        <fgColor rgb="FF0093C0"/>
      </patternFill>
    </fill>
    <fill>
      <patternFill patternType="solid">
        <fgColor rgb="FF009ED0"/>
      </patternFill>
    </fill>
    <fill>
      <patternFill patternType="solid">
        <fgColor rgb="FF0093C8"/>
      </patternFill>
    </fill>
    <fill>
      <patternFill patternType="solid">
        <fgColor rgb="FF0093C9"/>
      </patternFill>
    </fill>
    <fill>
      <patternFill patternType="solid">
        <fgColor rgb="FF0083CA"/>
      </patternFill>
    </fill>
    <fill>
      <patternFill patternType="solid">
        <fgColor rgb="FF0084CD"/>
      </patternFill>
    </fill>
    <fill>
      <patternFill patternType="solid">
        <fgColor rgb="FF8B796E"/>
        <bgColor indexed="64"/>
      </patternFill>
    </fill>
    <fill>
      <patternFill patternType="solid">
        <fgColor rgb="FF607A72"/>
        <bgColor indexed="64"/>
      </patternFill>
    </fill>
    <fill>
      <patternFill patternType="solid">
        <fgColor rgb="FF70B6BB"/>
        <bgColor indexed="64"/>
      </patternFill>
    </fill>
    <fill>
      <patternFill patternType="solid">
        <fgColor rgb="FF6EB7BB"/>
        <bgColor indexed="64"/>
      </patternFill>
    </fill>
    <fill>
      <patternFill patternType="solid">
        <fgColor rgb="FF68B8BF"/>
        <bgColor indexed="64"/>
      </patternFill>
    </fill>
    <fill>
      <patternFill patternType="solid">
        <fgColor rgb="FF4EB3C1"/>
        <bgColor indexed="64"/>
      </patternFill>
    </fill>
    <fill>
      <patternFill patternType="solid">
        <fgColor rgb="FF47B3C0"/>
        <bgColor indexed="64"/>
      </patternFill>
    </fill>
    <fill>
      <patternFill patternType="solid">
        <fgColor rgb="FF37B3C3"/>
        <bgColor indexed="64"/>
      </patternFill>
    </fill>
    <fill>
      <patternFill patternType="solid">
        <fgColor rgb="FF2FB0C3"/>
        <bgColor indexed="64"/>
      </patternFill>
    </fill>
    <fill>
      <patternFill patternType="solid">
        <fgColor rgb="FF24ABBF"/>
        <bgColor indexed="64"/>
      </patternFill>
    </fill>
    <fill>
      <patternFill patternType="solid">
        <fgColor rgb="FF17A9C0"/>
        <bgColor indexed="64"/>
      </patternFill>
    </fill>
    <fill>
      <patternFill patternType="solid">
        <fgColor rgb="FF0BA7C0"/>
        <bgColor indexed="64"/>
      </patternFill>
    </fill>
    <fill>
      <patternFill patternType="solid">
        <fgColor rgb="FF01A4C0"/>
        <bgColor indexed="64"/>
      </patternFill>
    </fill>
    <fill>
      <patternFill patternType="solid">
        <fgColor rgb="FF01A5C2"/>
        <bgColor indexed="64"/>
      </patternFill>
    </fill>
    <fill>
      <patternFill patternType="solid">
        <fgColor rgb="FF00A4C3"/>
        <bgColor indexed="64"/>
      </patternFill>
    </fill>
    <fill>
      <patternFill patternType="solid">
        <fgColor rgb="FF00A2C2"/>
        <bgColor indexed="64"/>
      </patternFill>
    </fill>
    <fill>
      <patternFill patternType="solid">
        <fgColor rgb="FF00A2C1"/>
        <bgColor indexed="64"/>
      </patternFill>
    </fill>
    <fill>
      <patternFill patternType="solid">
        <fgColor rgb="FF0093C5"/>
        <bgColor indexed="64"/>
      </patternFill>
    </fill>
    <fill>
      <patternFill patternType="solid">
        <fgColor rgb="FF0099C5"/>
        <bgColor indexed="64"/>
      </patternFill>
    </fill>
    <fill>
      <patternFill patternType="solid">
        <fgColor rgb="FF009BCA"/>
        <bgColor indexed="64"/>
      </patternFill>
    </fill>
    <fill>
      <patternFill patternType="solid">
        <fgColor rgb="FF049ACB"/>
        <bgColor indexed="64"/>
      </patternFill>
    </fill>
    <fill>
      <patternFill patternType="solid">
        <fgColor rgb="FF0591C9"/>
        <bgColor indexed="64"/>
      </patternFill>
    </fill>
    <fill>
      <patternFill patternType="solid">
        <fgColor rgb="FF0298CB"/>
        <bgColor indexed="64"/>
      </patternFill>
    </fill>
    <fill>
      <patternFill patternType="solid">
        <fgColor rgb="FF0495C8"/>
        <bgColor indexed="64"/>
      </patternFill>
    </fill>
    <fill>
      <patternFill patternType="solid">
        <fgColor rgb="FF038CC7"/>
        <bgColor indexed="64"/>
      </patternFill>
    </fill>
    <fill>
      <patternFill patternType="solid">
        <fgColor rgb="FF0489C7"/>
        <bgColor indexed="64"/>
      </patternFill>
    </fill>
    <fill>
      <patternFill patternType="solid">
        <fgColor rgb="FF0484C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4" fillId="13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14" borderId="1" xfId="0" applyFont="1" applyFill="1" applyBorder="1"/>
    <xf numFmtId="0" fontId="2" fillId="5" borderId="1" xfId="0" applyFont="1" applyFill="1" applyBorder="1" applyAlignment="1">
      <alignment horizontal="center"/>
    </xf>
    <xf numFmtId="0" fontId="4" fillId="15" borderId="1" xfId="0" applyFont="1" applyFill="1" applyBorder="1"/>
    <xf numFmtId="0" fontId="2" fillId="6" borderId="1" xfId="0" applyFont="1" applyFill="1" applyBorder="1" applyAlignment="1">
      <alignment horizontal="center"/>
    </xf>
    <xf numFmtId="0" fontId="4" fillId="16" borderId="1" xfId="0" applyFont="1" applyFill="1" applyBorder="1"/>
    <xf numFmtId="0" fontId="2" fillId="7" borderId="1" xfId="0" applyFont="1" applyFill="1" applyBorder="1" applyAlignment="1">
      <alignment horizontal="center"/>
    </xf>
    <xf numFmtId="0" fontId="4" fillId="17" borderId="1" xfId="0" applyFont="1" applyFill="1" applyBorder="1"/>
    <xf numFmtId="0" fontId="2" fillId="8" borderId="1" xfId="0" applyFont="1" applyFill="1" applyBorder="1" applyAlignment="1">
      <alignment horizontal="center"/>
    </xf>
    <xf numFmtId="0" fontId="4" fillId="18" borderId="1" xfId="0" applyFont="1" applyFill="1" applyBorder="1"/>
    <xf numFmtId="0" fontId="2" fillId="9" borderId="1" xfId="0" applyFont="1" applyFill="1" applyBorder="1" applyAlignment="1">
      <alignment horizontal="center"/>
    </xf>
    <xf numFmtId="0" fontId="4" fillId="19" borderId="1" xfId="0" applyFont="1" applyFill="1" applyBorder="1"/>
    <xf numFmtId="0" fontId="2" fillId="10" borderId="1" xfId="0" applyFont="1" applyFill="1" applyBorder="1" applyAlignment="1">
      <alignment horizontal="center"/>
    </xf>
    <xf numFmtId="0" fontId="4" fillId="20" borderId="1" xfId="0" applyFont="1" applyFill="1" applyBorder="1"/>
    <xf numFmtId="0" fontId="5" fillId="23" borderId="1" xfId="0" applyFont="1" applyFill="1" applyBorder="1" applyAlignment="1">
      <alignment horizontal="center"/>
    </xf>
    <xf numFmtId="0" fontId="3" fillId="35" borderId="1" xfId="0" applyFont="1" applyFill="1" applyBorder="1"/>
    <xf numFmtId="0" fontId="5" fillId="24" borderId="1" xfId="0" applyFont="1" applyFill="1" applyBorder="1" applyAlignment="1">
      <alignment horizontal="center"/>
    </xf>
    <xf numFmtId="0" fontId="3" fillId="36" borderId="1" xfId="0" applyFont="1" applyFill="1" applyBorder="1"/>
    <xf numFmtId="0" fontId="5" fillId="25" borderId="1" xfId="0" applyFont="1" applyFill="1" applyBorder="1" applyAlignment="1">
      <alignment horizontal="center"/>
    </xf>
    <xf numFmtId="0" fontId="3" fillId="37" borderId="1" xfId="0" applyFont="1" applyFill="1" applyBorder="1"/>
    <xf numFmtId="0" fontId="5" fillId="26" borderId="1" xfId="0" applyFont="1" applyFill="1" applyBorder="1" applyAlignment="1">
      <alignment horizontal="center"/>
    </xf>
    <xf numFmtId="0" fontId="3" fillId="38" borderId="1" xfId="0" applyFont="1" applyFill="1" applyBorder="1"/>
    <xf numFmtId="0" fontId="6" fillId="27" borderId="1" xfId="0" applyFont="1" applyFill="1" applyBorder="1" applyAlignment="1">
      <alignment horizontal="center"/>
    </xf>
    <xf numFmtId="0" fontId="3" fillId="39" borderId="1" xfId="0" applyFont="1" applyFill="1" applyBorder="1"/>
    <xf numFmtId="0" fontId="6" fillId="28" borderId="1" xfId="0" applyFont="1" applyFill="1" applyBorder="1" applyAlignment="1">
      <alignment horizontal="center"/>
    </xf>
    <xf numFmtId="0" fontId="3" fillId="40" borderId="1" xfId="0" applyFont="1" applyFill="1" applyBorder="1"/>
    <xf numFmtId="0" fontId="6" fillId="29" borderId="1" xfId="0" applyFont="1" applyFill="1" applyBorder="1" applyAlignment="1">
      <alignment horizontal="center"/>
    </xf>
    <xf numFmtId="0" fontId="3" fillId="41" borderId="1" xfId="0" applyFont="1" applyFill="1" applyBorder="1"/>
    <xf numFmtId="0" fontId="6" fillId="30" borderId="1" xfId="0" applyFont="1" applyFill="1" applyBorder="1" applyAlignment="1">
      <alignment horizontal="center"/>
    </xf>
    <xf numFmtId="0" fontId="3" fillId="42" borderId="1" xfId="0" applyFont="1" applyFill="1" applyBorder="1"/>
    <xf numFmtId="0" fontId="6" fillId="31" borderId="1" xfId="0" applyFont="1" applyFill="1" applyBorder="1" applyAlignment="1">
      <alignment horizontal="center"/>
    </xf>
    <xf numFmtId="0" fontId="3" fillId="43" borderId="1" xfId="0" applyFont="1" applyFill="1" applyBorder="1"/>
    <xf numFmtId="0" fontId="6" fillId="32" borderId="1" xfId="0" applyFont="1" applyFill="1" applyBorder="1" applyAlignment="1">
      <alignment horizontal="center"/>
    </xf>
    <xf numFmtId="0" fontId="3" fillId="44" borderId="1" xfId="0" applyFont="1" applyFill="1" applyBorder="1"/>
    <xf numFmtId="0" fontId="2" fillId="47" borderId="1" xfId="0" applyFont="1" applyFill="1" applyBorder="1" applyAlignment="1">
      <alignment horizontal="center"/>
    </xf>
    <xf numFmtId="0" fontId="3" fillId="67" borderId="1" xfId="0" applyFont="1" applyFill="1" applyBorder="1"/>
    <xf numFmtId="0" fontId="1" fillId="48" borderId="1" xfId="0" applyFont="1" applyFill="1" applyBorder="1" applyAlignment="1">
      <alignment horizontal="center"/>
    </xf>
    <xf numFmtId="0" fontId="3" fillId="68" borderId="1" xfId="0" applyFont="1" applyFill="1" applyBorder="1"/>
    <xf numFmtId="0" fontId="1" fillId="49" borderId="1" xfId="0" applyFont="1" applyFill="1" applyBorder="1" applyAlignment="1">
      <alignment horizontal="center"/>
    </xf>
    <xf numFmtId="0" fontId="3" fillId="69" borderId="1" xfId="0" applyFont="1" applyFill="1" applyBorder="1"/>
    <xf numFmtId="0" fontId="2" fillId="50" borderId="1" xfId="0" applyFont="1" applyFill="1" applyBorder="1" applyAlignment="1">
      <alignment horizontal="center"/>
    </xf>
    <xf numFmtId="0" fontId="3" fillId="70" borderId="1" xfId="0" applyFont="1" applyFill="1" applyBorder="1"/>
    <xf numFmtId="0" fontId="1" fillId="51" borderId="1" xfId="0" applyFont="1" applyFill="1" applyBorder="1" applyAlignment="1">
      <alignment horizontal="center"/>
    </xf>
    <xf numFmtId="0" fontId="3" fillId="71" borderId="1" xfId="0" applyFont="1" applyFill="1" applyBorder="1"/>
    <xf numFmtId="0" fontId="1" fillId="52" borderId="1" xfId="0" applyFont="1" applyFill="1" applyBorder="1" applyAlignment="1">
      <alignment horizontal="center"/>
    </xf>
    <xf numFmtId="0" fontId="3" fillId="72" borderId="1" xfId="0" applyFont="1" applyFill="1" applyBorder="1"/>
    <xf numFmtId="0" fontId="2" fillId="53" borderId="1" xfId="0" applyFont="1" applyFill="1" applyBorder="1" applyAlignment="1">
      <alignment horizontal="center"/>
    </xf>
    <xf numFmtId="0" fontId="3" fillId="73" borderId="1" xfId="0" applyFont="1" applyFill="1" applyBorder="1"/>
    <xf numFmtId="0" fontId="2" fillId="54" borderId="1" xfId="0" applyFont="1" applyFill="1" applyBorder="1" applyAlignment="1">
      <alignment horizontal="center"/>
    </xf>
    <xf numFmtId="0" fontId="3" fillId="74" borderId="1" xfId="0" applyFont="1" applyFill="1" applyBorder="1"/>
    <xf numFmtId="0" fontId="2" fillId="55" borderId="1" xfId="0" applyFont="1" applyFill="1" applyBorder="1" applyAlignment="1">
      <alignment horizontal="center"/>
    </xf>
    <xf numFmtId="0" fontId="3" fillId="75" borderId="1" xfId="0" applyFont="1" applyFill="1" applyBorder="1"/>
    <xf numFmtId="0" fontId="2" fillId="56" borderId="1" xfId="0" applyFont="1" applyFill="1" applyBorder="1" applyAlignment="1">
      <alignment horizontal="center"/>
    </xf>
    <xf numFmtId="0" fontId="2" fillId="57" borderId="1" xfId="0" applyFont="1" applyFill="1" applyBorder="1" applyAlignment="1">
      <alignment horizontal="center"/>
    </xf>
    <xf numFmtId="0" fontId="3" fillId="76" borderId="1" xfId="0" applyFont="1" applyFill="1" applyBorder="1"/>
    <xf numFmtId="0" fontId="2" fillId="58" borderId="1" xfId="0" applyFont="1" applyFill="1" applyBorder="1" applyAlignment="1">
      <alignment horizontal="center"/>
    </xf>
    <xf numFmtId="0" fontId="3" fillId="77" borderId="1" xfId="0" applyFont="1" applyFill="1" applyBorder="1"/>
    <xf numFmtId="0" fontId="2" fillId="59" borderId="1" xfId="0" applyFont="1" applyFill="1" applyBorder="1" applyAlignment="1">
      <alignment horizontal="center"/>
    </xf>
    <xf numFmtId="0" fontId="3" fillId="78" borderId="1" xfId="0" applyFont="1" applyFill="1" applyBorder="1"/>
    <xf numFmtId="0" fontId="2" fillId="60" borderId="1" xfId="0" applyFont="1" applyFill="1" applyBorder="1" applyAlignment="1">
      <alignment horizontal="center"/>
    </xf>
    <xf numFmtId="0" fontId="3" fillId="79" borderId="1" xfId="0" applyFont="1" applyFill="1" applyBorder="1"/>
    <xf numFmtId="0" fontId="2" fillId="61" borderId="1" xfId="0" applyFont="1" applyFill="1" applyBorder="1" applyAlignment="1">
      <alignment horizontal="center"/>
    </xf>
    <xf numFmtId="0" fontId="3" fillId="80" borderId="1" xfId="0" applyFont="1" applyFill="1" applyBorder="1"/>
    <xf numFmtId="0" fontId="2" fillId="62" borderId="1" xfId="0" applyFont="1" applyFill="1" applyBorder="1" applyAlignment="1">
      <alignment horizontal="center"/>
    </xf>
    <xf numFmtId="0" fontId="3" fillId="81" borderId="1" xfId="0" applyFont="1" applyFill="1" applyBorder="1"/>
    <xf numFmtId="0" fontId="2" fillId="63" borderId="1" xfId="0" applyFont="1" applyFill="1" applyBorder="1" applyAlignment="1">
      <alignment horizontal="center"/>
    </xf>
    <xf numFmtId="0" fontId="3" fillId="82" borderId="1" xfId="0" applyFont="1" applyFill="1" applyBorder="1"/>
    <xf numFmtId="0" fontId="2" fillId="64" borderId="1" xfId="0" applyFont="1" applyFill="1" applyBorder="1" applyAlignment="1">
      <alignment horizontal="center"/>
    </xf>
    <xf numFmtId="0" fontId="3" fillId="83" borderId="1" xfId="0" applyFont="1" applyFill="1" applyBorder="1"/>
    <xf numFmtId="0" fontId="3" fillId="104" borderId="1" xfId="0" applyFont="1" applyFill="1" applyBorder="1"/>
    <xf numFmtId="0" fontId="5" fillId="86" borderId="1" xfId="0" applyFont="1" applyFill="1" applyBorder="1" applyAlignment="1">
      <alignment horizontal="center"/>
    </xf>
    <xf numFmtId="0" fontId="3" fillId="105" borderId="1" xfId="0" applyFont="1" applyFill="1" applyBorder="1"/>
    <xf numFmtId="0" fontId="6" fillId="87" borderId="1" xfId="0" applyFont="1" applyFill="1" applyBorder="1" applyAlignment="1">
      <alignment horizontal="center"/>
    </xf>
    <xf numFmtId="0" fontId="3" fillId="106" borderId="1" xfId="0" applyFont="1" applyFill="1" applyBorder="1"/>
    <xf numFmtId="0" fontId="5" fillId="88" borderId="1" xfId="0" applyFont="1" applyFill="1" applyBorder="1" applyAlignment="1">
      <alignment horizontal="center"/>
    </xf>
    <xf numFmtId="0" fontId="3" fillId="107" borderId="1" xfId="0" applyFont="1" applyFill="1" applyBorder="1"/>
    <xf numFmtId="0" fontId="5" fillId="89" borderId="1" xfId="0" applyFont="1" applyFill="1" applyBorder="1" applyAlignment="1">
      <alignment horizontal="center"/>
    </xf>
    <xf numFmtId="0" fontId="3" fillId="108" borderId="1" xfId="0" applyFont="1" applyFill="1" applyBorder="1"/>
    <xf numFmtId="0" fontId="5" fillId="90" borderId="1" xfId="0" applyFont="1" applyFill="1" applyBorder="1" applyAlignment="1">
      <alignment horizontal="center"/>
    </xf>
    <xf numFmtId="0" fontId="5" fillId="91" borderId="1" xfId="0" applyFont="1" applyFill="1" applyBorder="1" applyAlignment="1">
      <alignment horizontal="center"/>
    </xf>
    <xf numFmtId="0" fontId="3" fillId="109" borderId="1" xfId="0" applyFont="1" applyFill="1" applyBorder="1"/>
    <xf numFmtId="0" fontId="5" fillId="92" borderId="1" xfId="0" applyFont="1" applyFill="1" applyBorder="1" applyAlignment="1">
      <alignment horizontal="center"/>
    </xf>
    <xf numFmtId="0" fontId="3" fillId="110" borderId="1" xfId="0" applyFont="1" applyFill="1" applyBorder="1"/>
    <xf numFmtId="0" fontId="5" fillId="93" borderId="1" xfId="0" applyFont="1" applyFill="1" applyBorder="1" applyAlignment="1">
      <alignment horizontal="center"/>
    </xf>
    <xf numFmtId="0" fontId="3" fillId="111" borderId="1" xfId="0" applyFont="1" applyFill="1" applyBorder="1"/>
    <xf numFmtId="0" fontId="5" fillId="94" borderId="1" xfId="0" applyFont="1" applyFill="1" applyBorder="1" applyAlignment="1">
      <alignment horizontal="center"/>
    </xf>
    <xf numFmtId="0" fontId="3" fillId="112" borderId="1" xfId="0" applyFont="1" applyFill="1" applyBorder="1"/>
    <xf numFmtId="0" fontId="6" fillId="95" borderId="1" xfId="0" applyFont="1" applyFill="1" applyBorder="1" applyAlignment="1">
      <alignment horizontal="center"/>
    </xf>
    <xf numFmtId="0" fontId="3" fillId="113" borderId="1" xfId="0" applyFont="1" applyFill="1" applyBorder="1"/>
    <xf numFmtId="0" fontId="6" fillId="96" borderId="1" xfId="0" applyFont="1" applyFill="1" applyBorder="1" applyAlignment="1">
      <alignment horizontal="center"/>
    </xf>
    <xf numFmtId="0" fontId="3" fillId="114" borderId="1" xfId="0" applyFont="1" applyFill="1" applyBorder="1"/>
    <xf numFmtId="0" fontId="6" fillId="97" borderId="1" xfId="0" applyFont="1" applyFill="1" applyBorder="1" applyAlignment="1">
      <alignment horizontal="center"/>
    </xf>
    <xf numFmtId="0" fontId="3" fillId="115" borderId="1" xfId="0" applyFont="1" applyFill="1" applyBorder="1"/>
    <xf numFmtId="0" fontId="6" fillId="98" borderId="1" xfId="0" applyFont="1" applyFill="1" applyBorder="1" applyAlignment="1">
      <alignment horizontal="center"/>
    </xf>
    <xf numFmtId="0" fontId="3" fillId="116" borderId="1" xfId="0" applyFont="1" applyFill="1" applyBorder="1"/>
    <xf numFmtId="0" fontId="6" fillId="99" borderId="1" xfId="0" applyFont="1" applyFill="1" applyBorder="1" applyAlignment="1">
      <alignment horizontal="center"/>
    </xf>
    <xf numFmtId="0" fontId="3" fillId="117" borderId="1" xfId="0" applyFont="1" applyFill="1" applyBorder="1"/>
    <xf numFmtId="0" fontId="6" fillId="100" borderId="1" xfId="0" applyFont="1" applyFill="1" applyBorder="1" applyAlignment="1">
      <alignment horizontal="center"/>
    </xf>
    <xf numFmtId="0" fontId="3" fillId="118" borderId="1" xfId="0" applyFont="1" applyFill="1" applyBorder="1"/>
    <xf numFmtId="0" fontId="6" fillId="101" borderId="1" xfId="0" applyFont="1" applyFill="1" applyBorder="1" applyAlignment="1">
      <alignment horizontal="center"/>
    </xf>
    <xf numFmtId="0" fontId="3" fillId="119" borderId="1" xfId="0" applyFont="1" applyFill="1" applyBorder="1"/>
    <xf numFmtId="0" fontId="6" fillId="102" borderId="1" xfId="0" applyFont="1" applyFill="1" applyBorder="1" applyAlignment="1">
      <alignment horizontal="center"/>
    </xf>
    <xf numFmtId="0" fontId="3" fillId="120" borderId="1" xfId="0" applyFont="1" applyFill="1" applyBorder="1"/>
    <xf numFmtId="0" fontId="6" fillId="122" borderId="1" xfId="0" applyFont="1" applyFill="1" applyBorder="1" applyAlignment="1">
      <alignment horizontal="center"/>
    </xf>
    <xf numFmtId="0" fontId="3" fillId="151" borderId="1" xfId="0" applyFont="1" applyFill="1" applyBorder="1"/>
    <xf numFmtId="0" fontId="6" fillId="123" borderId="1" xfId="0" applyFont="1" applyFill="1" applyBorder="1" applyAlignment="1">
      <alignment horizontal="center"/>
    </xf>
    <xf numFmtId="0" fontId="3" fillId="152" borderId="1" xfId="0" applyFont="1" applyFill="1" applyBorder="1"/>
    <xf numFmtId="0" fontId="5" fillId="124" borderId="1" xfId="0" applyFont="1" applyFill="1" applyBorder="1" applyAlignment="1">
      <alignment horizontal="center"/>
    </xf>
    <xf numFmtId="0" fontId="5" fillId="125" borderId="1" xfId="0" applyFont="1" applyFill="1" applyBorder="1" applyAlignment="1">
      <alignment horizontal="center"/>
    </xf>
    <xf numFmtId="0" fontId="3" fillId="153" borderId="1" xfId="0" applyFont="1" applyFill="1" applyBorder="1"/>
    <xf numFmtId="0" fontId="5" fillId="126" borderId="1" xfId="0" applyFont="1" applyFill="1" applyBorder="1" applyAlignment="1">
      <alignment horizontal="center"/>
    </xf>
    <xf numFmtId="0" fontId="3" fillId="154" borderId="1" xfId="0" applyFont="1" applyFill="1" applyBorder="1"/>
    <xf numFmtId="0" fontId="5" fillId="127" borderId="1" xfId="0" applyFont="1" applyFill="1" applyBorder="1" applyAlignment="1">
      <alignment horizontal="center"/>
    </xf>
    <xf numFmtId="0" fontId="3" fillId="155" borderId="1" xfId="0" applyFont="1" applyFill="1" applyBorder="1"/>
    <xf numFmtId="0" fontId="5" fillId="128" borderId="1" xfId="0" applyFont="1" applyFill="1" applyBorder="1" applyAlignment="1">
      <alignment horizontal="center"/>
    </xf>
    <xf numFmtId="0" fontId="3" fillId="156" borderId="1" xfId="0" applyFont="1" applyFill="1" applyBorder="1"/>
    <xf numFmtId="0" fontId="5" fillId="129" borderId="1" xfId="0" applyFont="1" applyFill="1" applyBorder="1" applyAlignment="1">
      <alignment horizontal="center"/>
    </xf>
    <xf numFmtId="0" fontId="3" fillId="157" borderId="1" xfId="0" applyFont="1" applyFill="1" applyBorder="1"/>
    <xf numFmtId="0" fontId="5" fillId="130" borderId="1" xfId="0" applyFont="1" applyFill="1" applyBorder="1" applyAlignment="1">
      <alignment horizontal="center"/>
    </xf>
    <xf numFmtId="0" fontId="3" fillId="158" borderId="1" xfId="0" applyFont="1" applyFill="1" applyBorder="1"/>
    <xf numFmtId="0" fontId="5" fillId="131" borderId="1" xfId="0" applyFont="1" applyFill="1" applyBorder="1" applyAlignment="1">
      <alignment horizontal="center"/>
    </xf>
    <xf numFmtId="0" fontId="3" fillId="159" borderId="1" xfId="0" applyFont="1" applyFill="1" applyBorder="1"/>
    <xf numFmtId="0" fontId="5" fillId="132" borderId="1" xfId="0" applyFont="1" applyFill="1" applyBorder="1" applyAlignment="1">
      <alignment horizontal="center"/>
    </xf>
    <xf numFmtId="0" fontId="3" fillId="160" borderId="1" xfId="0" applyFont="1" applyFill="1" applyBorder="1"/>
    <xf numFmtId="0" fontId="5" fillId="133" borderId="1" xfId="0" applyFont="1" applyFill="1" applyBorder="1" applyAlignment="1">
      <alignment horizontal="center"/>
    </xf>
    <xf numFmtId="0" fontId="3" fillId="161" borderId="1" xfId="0" applyFont="1" applyFill="1" applyBorder="1"/>
    <xf numFmtId="0" fontId="6" fillId="134" borderId="1" xfId="0" applyFont="1" applyFill="1" applyBorder="1" applyAlignment="1">
      <alignment horizontal="center"/>
    </xf>
    <xf numFmtId="0" fontId="3" fillId="162" borderId="1" xfId="0" applyFont="1" applyFill="1" applyBorder="1"/>
    <xf numFmtId="0" fontId="6" fillId="135" borderId="1" xfId="0" applyFont="1" applyFill="1" applyBorder="1" applyAlignment="1">
      <alignment horizontal="center"/>
    </xf>
    <xf numFmtId="0" fontId="3" fillId="163" borderId="1" xfId="0" applyFont="1" applyFill="1" applyBorder="1"/>
    <xf numFmtId="0" fontId="6" fillId="136" borderId="1" xfId="0" applyFont="1" applyFill="1" applyBorder="1" applyAlignment="1">
      <alignment horizontal="center"/>
    </xf>
    <xf numFmtId="0" fontId="3" fillId="164" borderId="1" xfId="0" applyFont="1" applyFill="1" applyBorder="1"/>
    <xf numFmtId="0" fontId="6" fillId="137" borderId="1" xfId="0" applyFont="1" applyFill="1" applyBorder="1" applyAlignment="1">
      <alignment horizontal="center"/>
    </xf>
    <xf numFmtId="0" fontId="3" fillId="165" borderId="1" xfId="0" applyFont="1" applyFill="1" applyBorder="1"/>
    <xf numFmtId="0" fontId="6" fillId="138" borderId="1" xfId="0" applyFont="1" applyFill="1" applyBorder="1" applyAlignment="1">
      <alignment horizontal="center"/>
    </xf>
    <xf numFmtId="0" fontId="3" fillId="166" borderId="1" xfId="0" applyFont="1" applyFill="1" applyBorder="1"/>
    <xf numFmtId="0" fontId="6" fillId="139" borderId="1" xfId="0" applyFont="1" applyFill="1" applyBorder="1" applyAlignment="1">
      <alignment horizontal="center"/>
    </xf>
    <xf numFmtId="0" fontId="3" fillId="167" borderId="1" xfId="0" applyFont="1" applyFill="1" applyBorder="1"/>
    <xf numFmtId="0" fontId="6" fillId="140" borderId="1" xfId="0" applyFont="1" applyFill="1" applyBorder="1" applyAlignment="1">
      <alignment horizontal="center"/>
    </xf>
    <xf numFmtId="0" fontId="6" fillId="141" borderId="1" xfId="0" applyFont="1" applyFill="1" applyBorder="1" applyAlignment="1">
      <alignment horizontal="center"/>
    </xf>
    <xf numFmtId="0" fontId="3" fillId="168" borderId="1" xfId="0" applyFont="1" applyFill="1" applyBorder="1"/>
    <xf numFmtId="0" fontId="6" fillId="142" borderId="1" xfId="0" applyFont="1" applyFill="1" applyBorder="1" applyAlignment="1">
      <alignment horizontal="center"/>
    </xf>
    <xf numFmtId="0" fontId="3" fillId="169" borderId="1" xfId="0" applyFont="1" applyFill="1" applyBorder="1"/>
    <xf numFmtId="0" fontId="6" fillId="143" borderId="1" xfId="0" applyFont="1" applyFill="1" applyBorder="1" applyAlignment="1">
      <alignment horizontal="center"/>
    </xf>
    <xf numFmtId="0" fontId="3" fillId="170" borderId="1" xfId="0" applyFont="1" applyFill="1" applyBorder="1"/>
    <xf numFmtId="0" fontId="6" fillId="144" borderId="1" xfId="0" applyFont="1" applyFill="1" applyBorder="1" applyAlignment="1">
      <alignment horizontal="center"/>
    </xf>
    <xf numFmtId="0" fontId="3" fillId="171" borderId="1" xfId="0" applyFont="1" applyFill="1" applyBorder="1"/>
    <xf numFmtId="0" fontId="6" fillId="145" borderId="1" xfId="0" applyFont="1" applyFill="1" applyBorder="1" applyAlignment="1">
      <alignment horizontal="center"/>
    </xf>
    <xf numFmtId="0" fontId="3" fillId="172" borderId="1" xfId="0" applyFont="1" applyFill="1" applyBorder="1"/>
    <xf numFmtId="0" fontId="6" fillId="146" borderId="1" xfId="0" applyFont="1" applyFill="1" applyBorder="1" applyAlignment="1">
      <alignment horizontal="center"/>
    </xf>
    <xf numFmtId="0" fontId="3" fillId="173" borderId="1" xfId="0" applyFont="1" applyFill="1" applyBorder="1"/>
    <xf numFmtId="0" fontId="6" fillId="147" borderId="1" xfId="0" applyFont="1" applyFill="1" applyBorder="1" applyAlignment="1">
      <alignment horizontal="center"/>
    </xf>
    <xf numFmtId="0" fontId="3" fillId="174" borderId="1" xfId="0" applyFont="1" applyFill="1" applyBorder="1"/>
    <xf numFmtId="0" fontId="6" fillId="148" borderId="1" xfId="0" applyFont="1" applyFill="1" applyBorder="1" applyAlignment="1">
      <alignment horizontal="center"/>
    </xf>
    <xf numFmtId="0" fontId="3" fillId="175" borderId="1" xfId="0" applyFont="1" applyFill="1" applyBorder="1"/>
    <xf numFmtId="0" fontId="3" fillId="176" borderId="1" xfId="0" applyFont="1" applyFill="1" applyBorder="1"/>
    <xf numFmtId="0" fontId="6" fillId="149" borderId="1" xfId="0" applyFont="1" applyFill="1" applyBorder="1" applyAlignment="1">
      <alignment horizontal="center"/>
    </xf>
    <xf numFmtId="0" fontId="3" fillId="177" borderId="1" xfId="0" applyFont="1" applyFill="1" applyBorder="1"/>
    <xf numFmtId="0" fontId="0" fillId="0" borderId="3" xfId="0" applyBorder="1"/>
    <xf numFmtId="0" fontId="3" fillId="105" borderId="3" xfId="0" applyFont="1" applyFill="1" applyBorder="1"/>
    <xf numFmtId="0" fontId="0" fillId="0" borderId="4" xfId="0" applyBorder="1"/>
    <xf numFmtId="0" fontId="6" fillId="150" borderId="4" xfId="0" applyFont="1" applyFill="1" applyBorder="1" applyAlignment="1">
      <alignment horizontal="center"/>
    </xf>
    <xf numFmtId="0" fontId="3" fillId="177" borderId="4" xfId="0" applyFont="1" applyFill="1" applyBorder="1"/>
    <xf numFmtId="0" fontId="5" fillId="85" borderId="3" xfId="0" applyFont="1" applyFill="1" applyBorder="1" applyAlignment="1">
      <alignment horizontal="center"/>
    </xf>
    <xf numFmtId="0" fontId="3" fillId="104" borderId="3" xfId="0" applyFont="1" applyFill="1" applyBorder="1"/>
    <xf numFmtId="0" fontId="6" fillId="103" borderId="4" xfId="0" applyFont="1" applyFill="1" applyBorder="1" applyAlignment="1">
      <alignment horizontal="center"/>
    </xf>
    <xf numFmtId="0" fontId="3" fillId="121" borderId="4" xfId="0" applyFont="1" applyFill="1" applyBorder="1"/>
    <xf numFmtId="0" fontId="1" fillId="46" borderId="3" xfId="0" applyFont="1" applyFill="1" applyBorder="1" applyAlignment="1">
      <alignment horizontal="center"/>
    </xf>
    <xf numFmtId="0" fontId="3" fillId="66" borderId="3" xfId="0" applyFont="1" applyFill="1" applyBorder="1"/>
    <xf numFmtId="0" fontId="2" fillId="65" borderId="4" xfId="0" applyFont="1" applyFill="1" applyBorder="1" applyAlignment="1">
      <alignment horizontal="center"/>
    </xf>
    <xf numFmtId="0" fontId="3" fillId="84" borderId="4" xfId="0" applyFont="1" applyFill="1" applyBorder="1"/>
    <xf numFmtId="0" fontId="5" fillId="22" borderId="3" xfId="0" applyFont="1" applyFill="1" applyBorder="1" applyAlignment="1">
      <alignment horizontal="center"/>
    </xf>
    <xf numFmtId="0" fontId="3" fillId="34" borderId="3" xfId="0" applyFont="1" applyFill="1" applyBorder="1"/>
    <xf numFmtId="0" fontId="6" fillId="33" borderId="4" xfId="0" applyFont="1" applyFill="1" applyBorder="1" applyAlignment="1">
      <alignment horizontal="center"/>
    </xf>
    <xf numFmtId="0" fontId="3" fillId="45" borderId="4" xfId="0" applyFont="1" applyFill="1" applyBorder="1"/>
    <xf numFmtId="0" fontId="1" fillId="2" borderId="3" xfId="0" applyFont="1" applyFill="1" applyBorder="1" applyAlignment="1">
      <alignment horizontal="center"/>
    </xf>
    <xf numFmtId="0" fontId="4" fillId="12" borderId="3" xfId="0" applyFont="1" applyFill="1" applyBorder="1"/>
    <xf numFmtId="0" fontId="2" fillId="11" borderId="4" xfId="0" applyFont="1" applyFill="1" applyBorder="1" applyAlignment="1">
      <alignment horizontal="center"/>
    </xf>
    <xf numFmtId="0" fontId="4" fillId="21" borderId="4" xfId="0" applyFont="1" applyFill="1" applyBorder="1"/>
    <xf numFmtId="0" fontId="0" fillId="0" borderId="0" xfId="0" applyBorder="1"/>
    <xf numFmtId="0" fontId="7" fillId="0" borderId="2" xfId="0" applyFont="1" applyBorder="1"/>
    <xf numFmtId="0" fontId="7" fillId="0" borderId="5" xfId="0" applyFont="1" applyBorder="1"/>
    <xf numFmtId="0" fontId="10" fillId="0" borderId="2" xfId="0" applyFont="1" applyBorder="1"/>
    <xf numFmtId="0" fontId="7" fillId="0" borderId="6" xfId="0" applyFont="1" applyBorder="1"/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ABS prediction comparison (1ml)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60275482677746"/>
          <c:y val="0.16385802771904706"/>
          <c:w val="0.79753865669794355"/>
          <c:h val="0.52502972482017263"/>
        </c:manualLayout>
      </c:layou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actual abs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Sheet1!$E$3:$E$12</c:f>
              <c:numCache>
                <c:formatCode>General</c:formatCode>
                <c:ptCount val="10"/>
                <c:pt idx="0">
                  <c:v>0.36</c:v>
                </c:pt>
                <c:pt idx="1">
                  <c:v>0.65</c:v>
                </c:pt>
                <c:pt idx="2">
                  <c:v>0.85</c:v>
                </c:pt>
                <c:pt idx="3">
                  <c:v>1.05</c:v>
                </c:pt>
                <c:pt idx="4">
                  <c:v>1.3</c:v>
                </c:pt>
                <c:pt idx="5">
                  <c:v>1.52</c:v>
                </c:pt>
                <c:pt idx="6">
                  <c:v>1.69</c:v>
                </c:pt>
                <c:pt idx="7">
                  <c:v>1.69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9-47A2-8E72-F769AD931309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predicted abs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Sheet1!$G$3:$G$12</c:f>
              <c:numCache>
                <c:formatCode>General</c:formatCode>
                <c:ptCount val="10"/>
                <c:pt idx="0">
                  <c:v>0.55000000000000004</c:v>
                </c:pt>
                <c:pt idx="1">
                  <c:v>0.38</c:v>
                </c:pt>
                <c:pt idx="2">
                  <c:v>0.79</c:v>
                </c:pt>
                <c:pt idx="3">
                  <c:v>1.05</c:v>
                </c:pt>
                <c:pt idx="4">
                  <c:v>1.32</c:v>
                </c:pt>
                <c:pt idx="5">
                  <c:v>1.61</c:v>
                </c:pt>
                <c:pt idx="6">
                  <c:v>1.73</c:v>
                </c:pt>
                <c:pt idx="7">
                  <c:v>1.77</c:v>
                </c:pt>
                <c:pt idx="8">
                  <c:v>1.8</c:v>
                </c:pt>
                <c:pt idx="9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79-47A2-8E72-F769AD931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58093248"/>
        <c:axId val="658086176"/>
      </c:lineChart>
      <c:catAx>
        <c:axId val="65809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86176"/>
        <c:crosses val="autoZero"/>
        <c:auto val="1"/>
        <c:lblAlgn val="ctr"/>
        <c:lblOffset val="100"/>
        <c:noMultiLvlLbl val="0"/>
      </c:catAx>
      <c:valAx>
        <c:axId val="658086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 values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9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685966261046502"/>
          <c:y val="0.92544827255138096"/>
          <c:w val="0.30628052546920254"/>
          <c:h val="7.116881581564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ABS prediction comparison (2ml)</a:t>
            </a:r>
          </a:p>
        </c:rich>
      </c:tx>
      <c:layout>
        <c:manualLayout>
          <c:xMode val="edge"/>
          <c:yMode val="edge"/>
          <c:x val="0.22583211141855083"/>
          <c:y val="2.305694411614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16202618919445"/>
          <c:y val="0.16116803937181992"/>
          <c:w val="0.74934020712202543"/>
          <c:h val="0.49463027373131435"/>
        </c:manualLayout>
      </c:layou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actual abs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Sheet1!$C$14:$C$25</c:f>
              <c:numCache>
                <c:formatCode>General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</c:numCache>
            </c:numRef>
          </c:cat>
          <c:val>
            <c:numRef>
              <c:f>Sheet1!$E$14:$E$25</c:f>
              <c:numCache>
                <c:formatCode>General</c:formatCode>
                <c:ptCount val="12"/>
                <c:pt idx="0">
                  <c:v>0.26</c:v>
                </c:pt>
                <c:pt idx="1">
                  <c:v>0.45</c:v>
                </c:pt>
                <c:pt idx="2">
                  <c:v>0.69</c:v>
                </c:pt>
                <c:pt idx="3">
                  <c:v>0.85</c:v>
                </c:pt>
                <c:pt idx="4">
                  <c:v>1.05</c:v>
                </c:pt>
                <c:pt idx="5">
                  <c:v>1.22</c:v>
                </c:pt>
                <c:pt idx="6">
                  <c:v>1.39</c:v>
                </c:pt>
                <c:pt idx="7">
                  <c:v>1.52</c:v>
                </c:pt>
                <c:pt idx="8">
                  <c:v>1.69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6-4CFD-98AB-1734E13D0EC0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predicted abs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Sheet1!$C$14:$C$25</c:f>
              <c:numCache>
                <c:formatCode>General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</c:numCache>
            </c:numRef>
          </c:cat>
          <c:val>
            <c:numRef>
              <c:f>Sheet1!$G$14:$G$25</c:f>
              <c:numCache>
                <c:formatCode>General</c:formatCode>
                <c:ptCount val="12"/>
                <c:pt idx="0">
                  <c:v>1.97</c:v>
                </c:pt>
                <c:pt idx="1">
                  <c:v>0.2</c:v>
                </c:pt>
                <c:pt idx="2">
                  <c:v>0.38</c:v>
                </c:pt>
                <c:pt idx="3">
                  <c:v>0.55000000000000004</c:v>
                </c:pt>
                <c:pt idx="4">
                  <c:v>0.79</c:v>
                </c:pt>
                <c:pt idx="5">
                  <c:v>0.96</c:v>
                </c:pt>
                <c:pt idx="6">
                  <c:v>1.06</c:v>
                </c:pt>
                <c:pt idx="7">
                  <c:v>1.32</c:v>
                </c:pt>
                <c:pt idx="8">
                  <c:v>1.35</c:v>
                </c:pt>
                <c:pt idx="9">
                  <c:v>1.73</c:v>
                </c:pt>
                <c:pt idx="10">
                  <c:v>1.74</c:v>
                </c:pt>
                <c:pt idx="11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6-4CFD-98AB-1734E13D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52917840"/>
        <c:axId val="752910352"/>
      </c:lineChart>
      <c:catAx>
        <c:axId val="75291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0352"/>
        <c:crosses val="autoZero"/>
        <c:auto val="1"/>
        <c:lblAlgn val="ctr"/>
        <c:lblOffset val="100"/>
        <c:noMultiLvlLbl val="0"/>
      </c:catAx>
      <c:valAx>
        <c:axId val="75291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 values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7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baseline="0">
                <a:effectLst/>
              </a:rPr>
              <a:t>ABS prediction comparison (3ml)</a:t>
            </a:r>
            <a:endParaRPr lang="en-IN" sz="1200">
              <a:effectLst/>
            </a:endParaRPr>
          </a:p>
        </c:rich>
      </c:tx>
      <c:layout>
        <c:manualLayout>
          <c:xMode val="edge"/>
          <c:yMode val="edge"/>
          <c:x val="0.22583211141855083"/>
          <c:y val="2.305694411614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140170023032135"/>
          <c:y val="0.16564983733138108"/>
          <c:w val="0.76449543756343252"/>
          <c:h val="0.50347956547288797"/>
        </c:manualLayout>
      </c:layou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actual abs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Sheet1!$C$27:$C$46</c:f>
              <c:numCache>
                <c:formatCode>General</c:formatCode>
                <c:ptCount val="20"/>
                <c:pt idx="0">
                  <c:v>0.3</c:v>
                </c:pt>
                <c:pt idx="1">
                  <c:v>0.6</c:v>
                </c:pt>
                <c:pt idx="2">
                  <c:v>0.9</c:v>
                </c:pt>
                <c:pt idx="3">
                  <c:v>1.1200000000000001</c:v>
                </c:pt>
                <c:pt idx="4">
                  <c:v>1.1499999999999999</c:v>
                </c:pt>
                <c:pt idx="5">
                  <c:v>1.18</c:v>
                </c:pt>
                <c:pt idx="6">
                  <c:v>2.1</c:v>
                </c:pt>
                <c:pt idx="7">
                  <c:v>2.4</c:v>
                </c:pt>
                <c:pt idx="8">
                  <c:v>2.7</c:v>
                </c:pt>
                <c:pt idx="9">
                  <c:v>3</c:v>
                </c:pt>
                <c:pt idx="10">
                  <c:v>3.3</c:v>
                </c:pt>
                <c:pt idx="11">
                  <c:v>3.6</c:v>
                </c:pt>
                <c:pt idx="12">
                  <c:v>3.9</c:v>
                </c:pt>
                <c:pt idx="13">
                  <c:v>4.2</c:v>
                </c:pt>
                <c:pt idx="14">
                  <c:v>4.5</c:v>
                </c:pt>
                <c:pt idx="15">
                  <c:v>4.8</c:v>
                </c:pt>
                <c:pt idx="16">
                  <c:v>5.0999999999999996</c:v>
                </c:pt>
                <c:pt idx="17">
                  <c:v>5.4</c:v>
                </c:pt>
                <c:pt idx="18">
                  <c:v>5.7</c:v>
                </c:pt>
                <c:pt idx="19">
                  <c:v>6</c:v>
                </c:pt>
              </c:numCache>
            </c:numRef>
          </c:cat>
          <c:val>
            <c:numRef>
              <c:f>Sheet1!$E$27:$E$46</c:f>
              <c:numCache>
                <c:formatCode>General</c:formatCode>
                <c:ptCount val="20"/>
                <c:pt idx="0">
                  <c:v>0.15</c:v>
                </c:pt>
                <c:pt idx="1">
                  <c:v>0.28000000000000003</c:v>
                </c:pt>
                <c:pt idx="2">
                  <c:v>0.38</c:v>
                </c:pt>
                <c:pt idx="3">
                  <c:v>0.48</c:v>
                </c:pt>
                <c:pt idx="4">
                  <c:v>0.57999999999999996</c:v>
                </c:pt>
                <c:pt idx="5">
                  <c:v>0.72</c:v>
                </c:pt>
                <c:pt idx="6">
                  <c:v>0.82</c:v>
                </c:pt>
                <c:pt idx="7">
                  <c:v>0.96</c:v>
                </c:pt>
                <c:pt idx="8">
                  <c:v>1.0900000000000001</c:v>
                </c:pt>
                <c:pt idx="9">
                  <c:v>1.1499999999999999</c:v>
                </c:pt>
                <c:pt idx="10">
                  <c:v>1.3</c:v>
                </c:pt>
                <c:pt idx="11">
                  <c:v>1.39</c:v>
                </c:pt>
                <c:pt idx="12">
                  <c:v>1.52</c:v>
                </c:pt>
                <c:pt idx="13">
                  <c:v>1.69</c:v>
                </c:pt>
                <c:pt idx="14">
                  <c:v>1.69</c:v>
                </c:pt>
                <c:pt idx="15">
                  <c:v>1.69</c:v>
                </c:pt>
                <c:pt idx="16">
                  <c:v>1.69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6-4CFD-98AB-1734E13D0EC0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predicted abs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Sheet1!$C$27:$C$46</c:f>
              <c:numCache>
                <c:formatCode>General</c:formatCode>
                <c:ptCount val="20"/>
                <c:pt idx="0">
                  <c:v>0.3</c:v>
                </c:pt>
                <c:pt idx="1">
                  <c:v>0.6</c:v>
                </c:pt>
                <c:pt idx="2">
                  <c:v>0.9</c:v>
                </c:pt>
                <c:pt idx="3">
                  <c:v>1.1200000000000001</c:v>
                </c:pt>
                <c:pt idx="4">
                  <c:v>1.1499999999999999</c:v>
                </c:pt>
                <c:pt idx="5">
                  <c:v>1.18</c:v>
                </c:pt>
                <c:pt idx="6">
                  <c:v>2.1</c:v>
                </c:pt>
                <c:pt idx="7">
                  <c:v>2.4</c:v>
                </c:pt>
                <c:pt idx="8">
                  <c:v>2.7</c:v>
                </c:pt>
                <c:pt idx="9">
                  <c:v>3</c:v>
                </c:pt>
                <c:pt idx="10">
                  <c:v>3.3</c:v>
                </c:pt>
                <c:pt idx="11">
                  <c:v>3.6</c:v>
                </c:pt>
                <c:pt idx="12">
                  <c:v>3.9</c:v>
                </c:pt>
                <c:pt idx="13">
                  <c:v>4.2</c:v>
                </c:pt>
                <c:pt idx="14">
                  <c:v>4.5</c:v>
                </c:pt>
                <c:pt idx="15">
                  <c:v>4.8</c:v>
                </c:pt>
                <c:pt idx="16">
                  <c:v>5.0999999999999996</c:v>
                </c:pt>
                <c:pt idx="17">
                  <c:v>5.4</c:v>
                </c:pt>
                <c:pt idx="18">
                  <c:v>5.7</c:v>
                </c:pt>
                <c:pt idx="19">
                  <c:v>6</c:v>
                </c:pt>
              </c:numCache>
            </c:numRef>
          </c:cat>
          <c:val>
            <c:numRef>
              <c:f>Sheet1!$G$27:$G$46</c:f>
              <c:numCache>
                <c:formatCode>General</c:formatCode>
                <c:ptCount val="20"/>
                <c:pt idx="0">
                  <c:v>0.55000000000000004</c:v>
                </c:pt>
                <c:pt idx="1">
                  <c:v>0.16</c:v>
                </c:pt>
                <c:pt idx="2">
                  <c:v>0.25</c:v>
                </c:pt>
                <c:pt idx="3">
                  <c:v>0.37</c:v>
                </c:pt>
                <c:pt idx="4">
                  <c:v>0.53</c:v>
                </c:pt>
                <c:pt idx="5">
                  <c:v>0.55000000000000004</c:v>
                </c:pt>
                <c:pt idx="6">
                  <c:v>0.81</c:v>
                </c:pt>
                <c:pt idx="7">
                  <c:v>0.88</c:v>
                </c:pt>
                <c:pt idx="8">
                  <c:v>0.96</c:v>
                </c:pt>
                <c:pt idx="9">
                  <c:v>1.07</c:v>
                </c:pt>
                <c:pt idx="10">
                  <c:v>1.27</c:v>
                </c:pt>
                <c:pt idx="11">
                  <c:v>1.38</c:v>
                </c:pt>
                <c:pt idx="12">
                  <c:v>1.44</c:v>
                </c:pt>
                <c:pt idx="13">
                  <c:v>1.58</c:v>
                </c:pt>
                <c:pt idx="14">
                  <c:v>1.72</c:v>
                </c:pt>
                <c:pt idx="15">
                  <c:v>1.72</c:v>
                </c:pt>
                <c:pt idx="16">
                  <c:v>1.75</c:v>
                </c:pt>
                <c:pt idx="17">
                  <c:v>1.83</c:v>
                </c:pt>
                <c:pt idx="18">
                  <c:v>1.93</c:v>
                </c:pt>
                <c:pt idx="19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6-4CFD-98AB-1734E13D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917840"/>
        <c:axId val="752910352"/>
      </c:lineChart>
      <c:catAx>
        <c:axId val="75291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0352"/>
        <c:crosses val="autoZero"/>
        <c:auto val="1"/>
        <c:lblAlgn val="ctr"/>
        <c:lblOffset val="100"/>
        <c:noMultiLvlLbl val="0"/>
      </c:catAx>
      <c:valAx>
        <c:axId val="752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7840"/>
        <c:crosses val="autoZero"/>
        <c:crossBetween val="between"/>
      </c:val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57604532271698"/>
          <c:y val="0.92547315064985392"/>
          <c:w val="0.40284790935456605"/>
          <c:h val="7.035754266973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baseline="0">
                <a:effectLst/>
              </a:rPr>
              <a:t>ABS prediction comparison (4ml)</a:t>
            </a:r>
            <a:endParaRPr lang="en-IN" sz="1200">
              <a:effectLst/>
            </a:endParaRPr>
          </a:p>
        </c:rich>
      </c:tx>
      <c:layout>
        <c:manualLayout>
          <c:xMode val="edge"/>
          <c:yMode val="edge"/>
          <c:x val="0.22583205480700583"/>
          <c:y val="1.4718309165580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140170023032135"/>
          <c:y val="0.16564983733138108"/>
          <c:w val="0.76449543756343252"/>
          <c:h val="0.50347956547288797"/>
        </c:manualLayout>
      </c:layou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actual abs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Sheet1!$C$48:$C$66</c:f>
              <c:numCache>
                <c:formatCode>General</c:formatCode>
                <c:ptCount val="19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</c:numCache>
            </c:numRef>
          </c:cat>
          <c:val>
            <c:numRef>
              <c:f>Sheet1!$E$48:$E$66</c:f>
              <c:numCache>
                <c:formatCode>General</c:formatCode>
                <c:ptCount val="19"/>
                <c:pt idx="0">
                  <c:v>0.09</c:v>
                </c:pt>
                <c:pt idx="1">
                  <c:v>0.16</c:v>
                </c:pt>
                <c:pt idx="2">
                  <c:v>0.28000000000000003</c:v>
                </c:pt>
                <c:pt idx="3">
                  <c:v>0.36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0.63</c:v>
                </c:pt>
                <c:pt idx="7">
                  <c:v>0.74</c:v>
                </c:pt>
                <c:pt idx="8">
                  <c:v>0.85</c:v>
                </c:pt>
                <c:pt idx="9">
                  <c:v>0.92</c:v>
                </c:pt>
                <c:pt idx="10">
                  <c:v>1</c:v>
                </c:pt>
                <c:pt idx="11">
                  <c:v>1.0900000000000001</c:v>
                </c:pt>
                <c:pt idx="12">
                  <c:v>1.22</c:v>
                </c:pt>
                <c:pt idx="13">
                  <c:v>1.3</c:v>
                </c:pt>
                <c:pt idx="14">
                  <c:v>1.52</c:v>
                </c:pt>
                <c:pt idx="15">
                  <c:v>1.69</c:v>
                </c:pt>
                <c:pt idx="16">
                  <c:v>1.69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6-4CFD-98AB-1734E13D0EC0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predicted abs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Sheet1!$C$48:$C$66</c:f>
              <c:numCache>
                <c:formatCode>General</c:formatCode>
                <c:ptCount val="19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</c:numCache>
            </c:numRef>
          </c:cat>
          <c:val>
            <c:numRef>
              <c:f>Sheet1!$G$48:$G$66</c:f>
              <c:numCache>
                <c:formatCode>General</c:formatCode>
                <c:ptCount val="19"/>
                <c:pt idx="0">
                  <c:v>0.53</c:v>
                </c:pt>
                <c:pt idx="1">
                  <c:v>0.16</c:v>
                </c:pt>
                <c:pt idx="2">
                  <c:v>0.26</c:v>
                </c:pt>
                <c:pt idx="3">
                  <c:v>0.36</c:v>
                </c:pt>
                <c:pt idx="4">
                  <c:v>0.5</c:v>
                </c:pt>
                <c:pt idx="5">
                  <c:v>0.53</c:v>
                </c:pt>
                <c:pt idx="6">
                  <c:v>0.57999999999999996</c:v>
                </c:pt>
                <c:pt idx="7">
                  <c:v>0.76</c:v>
                </c:pt>
                <c:pt idx="8">
                  <c:v>0.81</c:v>
                </c:pt>
                <c:pt idx="9">
                  <c:v>0.91</c:v>
                </c:pt>
                <c:pt idx="10">
                  <c:v>0.92</c:v>
                </c:pt>
                <c:pt idx="11">
                  <c:v>1.02</c:v>
                </c:pt>
                <c:pt idx="12">
                  <c:v>1.21</c:v>
                </c:pt>
                <c:pt idx="13">
                  <c:v>1.32</c:v>
                </c:pt>
                <c:pt idx="14">
                  <c:v>1.41</c:v>
                </c:pt>
                <c:pt idx="15">
                  <c:v>1.38</c:v>
                </c:pt>
                <c:pt idx="16">
                  <c:v>1.7</c:v>
                </c:pt>
                <c:pt idx="17">
                  <c:v>1.8</c:v>
                </c:pt>
                <c:pt idx="18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6-4CFD-98AB-1734E13D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917840"/>
        <c:axId val="752910352"/>
      </c:lineChart>
      <c:catAx>
        <c:axId val="75291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0352"/>
        <c:crosses val="autoZero"/>
        <c:auto val="1"/>
        <c:lblAlgn val="ctr"/>
        <c:lblOffset val="100"/>
        <c:noMultiLvlLbl val="0"/>
      </c:catAx>
      <c:valAx>
        <c:axId val="752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7840"/>
        <c:crosses val="autoZero"/>
        <c:crossBetween val="between"/>
      </c:val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57604532271698"/>
          <c:y val="0.92547315064985392"/>
          <c:w val="0.40284790935456605"/>
          <c:h val="7.035754266973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baseline="0">
                <a:effectLst/>
              </a:rPr>
              <a:t>ABS prediction comparison (5ml)</a:t>
            </a:r>
            <a:endParaRPr lang="en-IN" sz="1200">
              <a:effectLst/>
            </a:endParaRPr>
          </a:p>
        </c:rich>
      </c:tx>
      <c:layout>
        <c:manualLayout>
          <c:xMode val="edge"/>
          <c:yMode val="edge"/>
          <c:x val="0.22583205480700583"/>
          <c:y val="1.0549002485169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140170023032135"/>
          <c:y val="0.16564983733138108"/>
          <c:w val="0.76449543756343252"/>
          <c:h val="0.50347956547288797"/>
        </c:manualLayout>
      </c:layout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actual abs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Sheet1!$C$68:$C$99</c:f>
              <c:numCache>
                <c:formatCode>General</c:formatCode>
                <c:ptCount val="32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</c:numCache>
            </c:numRef>
          </c:cat>
          <c:val>
            <c:numRef>
              <c:f>Sheet1!$E$68:$E$99</c:f>
              <c:numCache>
                <c:formatCode>General</c:formatCode>
                <c:ptCount val="32"/>
                <c:pt idx="0">
                  <c:v>0.08</c:v>
                </c:pt>
                <c:pt idx="1">
                  <c:v>0.14000000000000001</c:v>
                </c:pt>
                <c:pt idx="2">
                  <c:v>0.21</c:v>
                </c:pt>
                <c:pt idx="3">
                  <c:v>0.52</c:v>
                </c:pt>
                <c:pt idx="4">
                  <c:v>0.33</c:v>
                </c:pt>
                <c:pt idx="5">
                  <c:v>0.4</c:v>
                </c:pt>
                <c:pt idx="6">
                  <c:v>0.48</c:v>
                </c:pt>
                <c:pt idx="7">
                  <c:v>0.53</c:v>
                </c:pt>
                <c:pt idx="8">
                  <c:v>0.56000000000000005</c:v>
                </c:pt>
                <c:pt idx="9">
                  <c:v>0.63</c:v>
                </c:pt>
                <c:pt idx="10">
                  <c:v>0.69</c:v>
                </c:pt>
                <c:pt idx="11">
                  <c:v>0.74</c:v>
                </c:pt>
                <c:pt idx="12">
                  <c:v>0.82</c:v>
                </c:pt>
                <c:pt idx="13">
                  <c:v>0.85</c:v>
                </c:pt>
                <c:pt idx="14">
                  <c:v>0.92</c:v>
                </c:pt>
                <c:pt idx="15">
                  <c:v>1</c:v>
                </c:pt>
                <c:pt idx="16">
                  <c:v>1.05</c:v>
                </c:pt>
                <c:pt idx="17">
                  <c:v>1.0900000000000001</c:v>
                </c:pt>
                <c:pt idx="18">
                  <c:v>1.1499999999999999</c:v>
                </c:pt>
                <c:pt idx="19">
                  <c:v>1.22</c:v>
                </c:pt>
                <c:pt idx="20">
                  <c:v>1.3</c:v>
                </c:pt>
                <c:pt idx="21">
                  <c:v>1.39</c:v>
                </c:pt>
                <c:pt idx="22">
                  <c:v>1.39</c:v>
                </c:pt>
                <c:pt idx="23">
                  <c:v>1.52</c:v>
                </c:pt>
                <c:pt idx="24">
                  <c:v>1.52</c:v>
                </c:pt>
                <c:pt idx="25">
                  <c:v>1.69</c:v>
                </c:pt>
                <c:pt idx="26">
                  <c:v>1.69</c:v>
                </c:pt>
                <c:pt idx="27">
                  <c:v>1.69</c:v>
                </c:pt>
                <c:pt idx="28">
                  <c:v>1.69</c:v>
                </c:pt>
                <c:pt idx="29">
                  <c:v>1.69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6-4CFD-98AB-1734E13D0EC0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predicted abs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Sheet1!$C$68:$C$99</c:f>
              <c:numCache>
                <c:formatCode>General</c:formatCode>
                <c:ptCount val="32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</c:numCache>
            </c:numRef>
          </c:cat>
          <c:val>
            <c:numRef>
              <c:f>Sheet1!$G$68:$G$99</c:f>
              <c:numCache>
                <c:formatCode>General</c:formatCode>
                <c:ptCount val="32"/>
                <c:pt idx="0">
                  <c:v>0.16</c:v>
                </c:pt>
                <c:pt idx="1">
                  <c:v>0.16</c:v>
                </c:pt>
                <c:pt idx="2">
                  <c:v>0.24</c:v>
                </c:pt>
                <c:pt idx="3">
                  <c:v>0.28000000000000003</c:v>
                </c:pt>
                <c:pt idx="4">
                  <c:v>0.36</c:v>
                </c:pt>
                <c:pt idx="5">
                  <c:v>0.48</c:v>
                </c:pt>
                <c:pt idx="6">
                  <c:v>0.49</c:v>
                </c:pt>
                <c:pt idx="7">
                  <c:v>0.51</c:v>
                </c:pt>
                <c:pt idx="8">
                  <c:v>0.6</c:v>
                </c:pt>
                <c:pt idx="9">
                  <c:v>0.7</c:v>
                </c:pt>
                <c:pt idx="10">
                  <c:v>0.73</c:v>
                </c:pt>
                <c:pt idx="11">
                  <c:v>0.79</c:v>
                </c:pt>
                <c:pt idx="12">
                  <c:v>0.87</c:v>
                </c:pt>
                <c:pt idx="13">
                  <c:v>0.9</c:v>
                </c:pt>
                <c:pt idx="14">
                  <c:v>0.97</c:v>
                </c:pt>
                <c:pt idx="15">
                  <c:v>1.1000000000000001</c:v>
                </c:pt>
                <c:pt idx="16">
                  <c:v>1.1100000000000001</c:v>
                </c:pt>
                <c:pt idx="17">
                  <c:v>1.17</c:v>
                </c:pt>
                <c:pt idx="18">
                  <c:v>1.19</c:v>
                </c:pt>
                <c:pt idx="19">
                  <c:v>1.22</c:v>
                </c:pt>
                <c:pt idx="20">
                  <c:v>1.4</c:v>
                </c:pt>
                <c:pt idx="21">
                  <c:v>1.57</c:v>
                </c:pt>
                <c:pt idx="22">
                  <c:v>1.55</c:v>
                </c:pt>
                <c:pt idx="23">
                  <c:v>1.54</c:v>
                </c:pt>
                <c:pt idx="24">
                  <c:v>1.54</c:v>
                </c:pt>
                <c:pt idx="25">
                  <c:v>1.58</c:v>
                </c:pt>
                <c:pt idx="26">
                  <c:v>1.68</c:v>
                </c:pt>
                <c:pt idx="27">
                  <c:v>1.74</c:v>
                </c:pt>
                <c:pt idx="28">
                  <c:v>1.79</c:v>
                </c:pt>
                <c:pt idx="29">
                  <c:v>1.82</c:v>
                </c:pt>
                <c:pt idx="30">
                  <c:v>1.85</c:v>
                </c:pt>
                <c:pt idx="31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6-4CFD-98AB-1734E13D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917840"/>
        <c:axId val="752910352"/>
      </c:lineChart>
      <c:catAx>
        <c:axId val="75291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0352"/>
        <c:crosses val="autoZero"/>
        <c:auto val="1"/>
        <c:lblAlgn val="ctr"/>
        <c:lblOffset val="100"/>
        <c:noMultiLvlLbl val="0"/>
      </c:catAx>
      <c:valAx>
        <c:axId val="752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</a:t>
                </a:r>
                <a:r>
                  <a:rPr lang="en-IN" baseline="0"/>
                  <a:t> values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17840"/>
        <c:crosses val="autoZero"/>
        <c:crossBetween val="between"/>
      </c:val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57604532271698"/>
          <c:y val="0.92547315064985392"/>
          <c:w val="0.40284790935456605"/>
          <c:h val="7.035754266973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78532</xdr:colOff>
      <xdr:row>4</xdr:row>
      <xdr:rowOff>44046</xdr:rowOff>
    </xdr:from>
    <xdr:to>
      <xdr:col>21</xdr:col>
      <xdr:colOff>56266</xdr:colOff>
      <xdr:row>19</xdr:row>
      <xdr:rowOff>153685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28496</xdr:colOff>
      <xdr:row>20</xdr:row>
      <xdr:rowOff>139621</xdr:rowOff>
    </xdr:from>
    <xdr:to>
      <xdr:col>21</xdr:col>
      <xdr:colOff>24114</xdr:colOff>
      <xdr:row>35</xdr:row>
      <xdr:rowOff>120571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80381</xdr:colOff>
      <xdr:row>37</xdr:row>
      <xdr:rowOff>80380</xdr:rowOff>
    </xdr:from>
    <xdr:to>
      <xdr:col>20</xdr:col>
      <xdr:colOff>554620</xdr:colOff>
      <xdr:row>53</xdr:row>
      <xdr:rowOff>168476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176515</xdr:colOff>
      <xdr:row>53</xdr:row>
      <xdr:rowOff>176515</xdr:rowOff>
    </xdr:from>
    <xdr:to>
      <xdr:col>21</xdr:col>
      <xdr:colOff>39868</xdr:colOff>
      <xdr:row>69</xdr:row>
      <xdr:rowOff>144040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55625</xdr:colOff>
      <xdr:row>75</xdr:row>
      <xdr:rowOff>79737</xdr:rowOff>
    </xdr:from>
    <xdr:to>
      <xdr:col>20</xdr:col>
      <xdr:colOff>529864</xdr:colOff>
      <xdr:row>92</xdr:row>
      <xdr:rowOff>95490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101"/>
  <sheetViews>
    <sheetView tabSelected="1" zoomScale="79" workbookViewId="0">
      <pane xSplit="1" ySplit="2" topLeftCell="B91" activePane="bottomRight" state="frozen"/>
      <selection pane="topRight" activeCell="B1" sqref="B1"/>
      <selection pane="bottomLeft" activeCell="A3" sqref="A3"/>
      <selection pane="bottomRight" activeCell="B13" sqref="B13"/>
    </sheetView>
  </sheetViews>
  <sheetFormatPr defaultRowHeight="14.5" x14ac:dyDescent="0.35"/>
  <cols>
    <col min="2" max="2" width="8.7265625" style="191"/>
    <col min="5" max="5" width="9.1796875" bestFit="1" customWidth="1"/>
    <col min="6" max="6" width="11.54296875" bestFit="1" customWidth="1"/>
    <col min="7" max="7" width="12.08984375" bestFit="1" customWidth="1"/>
    <col min="8" max="8" width="14.54296875" bestFit="1" customWidth="1"/>
  </cols>
  <sheetData>
    <row r="1" spans="2:11" ht="15" thickBot="1" x14ac:dyDescent="0.4"/>
    <row r="2" spans="2:11" ht="15" thickBot="1" x14ac:dyDescent="0.4">
      <c r="B2" s="187" t="s">
        <v>14</v>
      </c>
      <c r="C2" s="190" t="s">
        <v>13</v>
      </c>
      <c r="D2" s="187" t="s">
        <v>188</v>
      </c>
      <c r="E2" s="188" t="s">
        <v>12</v>
      </c>
      <c r="F2" s="187" t="s">
        <v>11</v>
      </c>
      <c r="G2" s="188" t="s">
        <v>15</v>
      </c>
      <c r="H2" s="187" t="s">
        <v>16</v>
      </c>
      <c r="I2" s="189" t="s">
        <v>92</v>
      </c>
      <c r="J2" s="190" t="s">
        <v>186</v>
      </c>
    </row>
    <row r="3" spans="2:11" x14ac:dyDescent="0.35">
      <c r="B3" s="196" t="s">
        <v>0</v>
      </c>
      <c r="C3" s="193">
        <v>1</v>
      </c>
      <c r="D3" s="165">
        <v>640</v>
      </c>
      <c r="E3" s="165">
        <v>0.36</v>
      </c>
      <c r="F3" s="182" t="s">
        <v>1</v>
      </c>
      <c r="G3" s="165">
        <v>0.55000000000000004</v>
      </c>
      <c r="H3" s="183" t="s">
        <v>17</v>
      </c>
      <c r="I3" s="199">
        <f>E3-G3</f>
        <v>-0.19000000000000006</v>
      </c>
      <c r="J3" s="202">
        <f>AVERAGE(I3:I12)</f>
        <v>3.0999999999999962E-2</v>
      </c>
      <c r="K3" s="186"/>
    </row>
    <row r="4" spans="2:11" x14ac:dyDescent="0.35">
      <c r="B4" s="197"/>
      <c r="C4" s="194">
        <v>2</v>
      </c>
      <c r="D4" s="4">
        <v>640</v>
      </c>
      <c r="E4" s="4">
        <v>0.65</v>
      </c>
      <c r="F4" s="5" t="s">
        <v>2</v>
      </c>
      <c r="G4" s="4">
        <v>0.38</v>
      </c>
      <c r="H4" s="6" t="s">
        <v>18</v>
      </c>
      <c r="I4" s="200">
        <f t="shared" ref="I4:I69" si="0">E4-G4</f>
        <v>0.27</v>
      </c>
      <c r="J4" s="203"/>
      <c r="K4" s="186"/>
    </row>
    <row r="5" spans="2:11" x14ac:dyDescent="0.35">
      <c r="B5" s="197"/>
      <c r="C5" s="194">
        <v>3</v>
      </c>
      <c r="D5" s="4">
        <v>640</v>
      </c>
      <c r="E5" s="4">
        <v>0.85</v>
      </c>
      <c r="F5" s="7" t="s">
        <v>3</v>
      </c>
      <c r="G5" s="4">
        <v>0.79</v>
      </c>
      <c r="H5" s="8" t="s">
        <v>19</v>
      </c>
      <c r="I5" s="200">
        <f t="shared" si="0"/>
        <v>5.9999999999999942E-2</v>
      </c>
      <c r="J5" s="203"/>
      <c r="K5" s="186"/>
    </row>
    <row r="6" spans="2:11" x14ac:dyDescent="0.35">
      <c r="B6" s="197"/>
      <c r="C6" s="194">
        <v>4</v>
      </c>
      <c r="D6" s="4">
        <v>640</v>
      </c>
      <c r="E6" s="4">
        <v>1.05</v>
      </c>
      <c r="F6" s="9" t="s">
        <v>4</v>
      </c>
      <c r="G6" s="4">
        <v>1.05</v>
      </c>
      <c r="H6" s="10" t="s">
        <v>20</v>
      </c>
      <c r="I6" s="200">
        <f t="shared" si="0"/>
        <v>0</v>
      </c>
      <c r="J6" s="203"/>
      <c r="K6" s="186"/>
    </row>
    <row r="7" spans="2:11" x14ac:dyDescent="0.35">
      <c r="B7" s="197"/>
      <c r="C7" s="194">
        <v>5</v>
      </c>
      <c r="D7" s="4">
        <v>640</v>
      </c>
      <c r="E7" s="4">
        <v>1.3</v>
      </c>
      <c r="F7" s="11" t="s">
        <v>5</v>
      </c>
      <c r="G7" s="4">
        <v>1.32</v>
      </c>
      <c r="H7" s="12" t="s">
        <v>21</v>
      </c>
      <c r="I7" s="200">
        <f t="shared" si="0"/>
        <v>-2.0000000000000018E-2</v>
      </c>
      <c r="J7" s="203"/>
      <c r="K7" s="186"/>
    </row>
    <row r="8" spans="2:11" x14ac:dyDescent="0.35">
      <c r="B8" s="197"/>
      <c r="C8" s="194">
        <v>6</v>
      </c>
      <c r="D8" s="4">
        <v>640</v>
      </c>
      <c r="E8" s="4">
        <v>1.52</v>
      </c>
      <c r="F8" s="13" t="s">
        <v>6</v>
      </c>
      <c r="G8" s="4">
        <v>1.61</v>
      </c>
      <c r="H8" s="14" t="s">
        <v>22</v>
      </c>
      <c r="I8" s="200">
        <f t="shared" si="0"/>
        <v>-9.000000000000008E-2</v>
      </c>
      <c r="J8" s="203"/>
      <c r="K8" s="186"/>
    </row>
    <row r="9" spans="2:11" x14ac:dyDescent="0.35">
      <c r="B9" s="197"/>
      <c r="C9" s="194">
        <v>7</v>
      </c>
      <c r="D9" s="4">
        <v>640</v>
      </c>
      <c r="E9" s="4">
        <v>1.69</v>
      </c>
      <c r="F9" s="15" t="s">
        <v>7</v>
      </c>
      <c r="G9" s="4">
        <v>1.73</v>
      </c>
      <c r="H9" s="16" t="s">
        <v>23</v>
      </c>
      <c r="I9" s="200">
        <f t="shared" si="0"/>
        <v>-4.0000000000000036E-2</v>
      </c>
      <c r="J9" s="203"/>
      <c r="K9" s="186"/>
    </row>
    <row r="10" spans="2:11" x14ac:dyDescent="0.35">
      <c r="B10" s="197"/>
      <c r="C10" s="194">
        <v>8</v>
      </c>
      <c r="D10" s="4">
        <v>640</v>
      </c>
      <c r="E10" s="4">
        <v>1.69</v>
      </c>
      <c r="F10" s="17" t="s">
        <v>8</v>
      </c>
      <c r="G10" s="4">
        <v>1.77</v>
      </c>
      <c r="H10" s="18" t="s">
        <v>24</v>
      </c>
      <c r="I10" s="200">
        <f t="shared" si="0"/>
        <v>-8.0000000000000071E-2</v>
      </c>
      <c r="J10" s="203"/>
      <c r="K10" s="186"/>
    </row>
    <row r="11" spans="2:11" x14ac:dyDescent="0.35">
      <c r="B11" s="197"/>
      <c r="C11" s="194">
        <v>9</v>
      </c>
      <c r="D11" s="4">
        <v>640</v>
      </c>
      <c r="E11" s="4">
        <v>2</v>
      </c>
      <c r="F11" s="19" t="s">
        <v>9</v>
      </c>
      <c r="G11" s="4">
        <v>1.8</v>
      </c>
      <c r="H11" s="20" t="s">
        <v>25</v>
      </c>
      <c r="I11" s="200">
        <f t="shared" si="0"/>
        <v>0.19999999999999996</v>
      </c>
      <c r="J11" s="203"/>
      <c r="K11" s="186"/>
    </row>
    <row r="12" spans="2:11" ht="15" thickBot="1" x14ac:dyDescent="0.4">
      <c r="B12" s="198"/>
      <c r="C12" s="195">
        <v>10</v>
      </c>
      <c r="D12" s="167">
        <v>640</v>
      </c>
      <c r="E12" s="167">
        <v>2</v>
      </c>
      <c r="F12" s="184" t="s">
        <v>10</v>
      </c>
      <c r="G12" s="167">
        <v>1.8</v>
      </c>
      <c r="H12" s="185" t="s">
        <v>26</v>
      </c>
      <c r="I12" s="201">
        <f t="shared" si="0"/>
        <v>0.19999999999999996</v>
      </c>
      <c r="J12" s="204"/>
      <c r="K12" s="186"/>
    </row>
    <row r="13" spans="2:11" ht="24" thickBot="1" x14ac:dyDescent="0.6">
      <c r="J13" s="1"/>
    </row>
    <row r="14" spans="2:11" x14ac:dyDescent="0.35">
      <c r="B14" s="196" t="s">
        <v>27</v>
      </c>
      <c r="C14" s="193">
        <v>0.5</v>
      </c>
      <c r="D14" s="165">
        <v>640</v>
      </c>
      <c r="E14" s="165">
        <v>0.26</v>
      </c>
      <c r="F14" s="178" t="s">
        <v>28</v>
      </c>
      <c r="G14" s="165">
        <v>1.97</v>
      </c>
      <c r="H14" s="179" t="s">
        <v>40</v>
      </c>
      <c r="I14" s="199">
        <f t="shared" si="0"/>
        <v>-1.71</v>
      </c>
      <c r="J14" s="202">
        <f>AVERAGE(I14:I25)</f>
        <v>9.8333333333333328E-2</v>
      </c>
    </row>
    <row r="15" spans="2:11" x14ac:dyDescent="0.35">
      <c r="B15" s="197"/>
      <c r="C15" s="194">
        <v>1</v>
      </c>
      <c r="D15" s="4">
        <v>640</v>
      </c>
      <c r="E15" s="4">
        <v>0.45</v>
      </c>
      <c r="F15" s="21" t="s">
        <v>29</v>
      </c>
      <c r="G15" s="4">
        <v>0.2</v>
      </c>
      <c r="H15" s="22" t="s">
        <v>41</v>
      </c>
      <c r="I15" s="200">
        <f t="shared" si="0"/>
        <v>0.25</v>
      </c>
      <c r="J15" s="203"/>
    </row>
    <row r="16" spans="2:11" x14ac:dyDescent="0.35">
      <c r="B16" s="197"/>
      <c r="C16" s="194">
        <v>1.5</v>
      </c>
      <c r="D16" s="4">
        <v>640</v>
      </c>
      <c r="E16" s="4">
        <v>0.69</v>
      </c>
      <c r="F16" s="23" t="s">
        <v>30</v>
      </c>
      <c r="G16" s="4">
        <v>0.38</v>
      </c>
      <c r="H16" s="24" t="s">
        <v>42</v>
      </c>
      <c r="I16" s="200">
        <f t="shared" si="0"/>
        <v>0.30999999999999994</v>
      </c>
      <c r="J16" s="203"/>
    </row>
    <row r="17" spans="2:10" x14ac:dyDescent="0.35">
      <c r="B17" s="197"/>
      <c r="C17" s="194">
        <v>2</v>
      </c>
      <c r="D17" s="4">
        <v>640</v>
      </c>
      <c r="E17" s="4">
        <v>0.85</v>
      </c>
      <c r="F17" s="25" t="s">
        <v>31</v>
      </c>
      <c r="G17" s="4">
        <v>0.55000000000000004</v>
      </c>
      <c r="H17" s="26" t="s">
        <v>43</v>
      </c>
      <c r="I17" s="200">
        <f t="shared" si="0"/>
        <v>0.29999999999999993</v>
      </c>
      <c r="J17" s="203"/>
    </row>
    <row r="18" spans="2:10" x14ac:dyDescent="0.35">
      <c r="B18" s="197"/>
      <c r="C18" s="194">
        <v>2.5</v>
      </c>
      <c r="D18" s="4">
        <v>640</v>
      </c>
      <c r="E18" s="4">
        <v>1.05</v>
      </c>
      <c r="F18" s="27" t="s">
        <v>32</v>
      </c>
      <c r="G18" s="4">
        <v>0.79</v>
      </c>
      <c r="H18" s="28" t="s">
        <v>44</v>
      </c>
      <c r="I18" s="200">
        <f t="shared" si="0"/>
        <v>0.26</v>
      </c>
      <c r="J18" s="203"/>
    </row>
    <row r="19" spans="2:10" x14ac:dyDescent="0.35">
      <c r="B19" s="197"/>
      <c r="C19" s="194">
        <v>3</v>
      </c>
      <c r="D19" s="4">
        <v>640</v>
      </c>
      <c r="E19" s="4">
        <v>1.22</v>
      </c>
      <c r="F19" s="29" t="s">
        <v>33</v>
      </c>
      <c r="G19" s="4">
        <v>0.96</v>
      </c>
      <c r="H19" s="30" t="s">
        <v>45</v>
      </c>
      <c r="I19" s="200">
        <f t="shared" si="0"/>
        <v>0.26</v>
      </c>
      <c r="J19" s="203"/>
    </row>
    <row r="20" spans="2:10" x14ac:dyDescent="0.35">
      <c r="B20" s="197"/>
      <c r="C20" s="194">
        <v>3.5</v>
      </c>
      <c r="D20" s="4">
        <v>640</v>
      </c>
      <c r="E20" s="4">
        <v>1.39</v>
      </c>
      <c r="F20" s="31" t="s">
        <v>34</v>
      </c>
      <c r="G20" s="4">
        <v>1.06</v>
      </c>
      <c r="H20" s="32" t="s">
        <v>46</v>
      </c>
      <c r="I20" s="200">
        <f t="shared" si="0"/>
        <v>0.32999999999999985</v>
      </c>
      <c r="J20" s="203"/>
    </row>
    <row r="21" spans="2:10" x14ac:dyDescent="0.35">
      <c r="B21" s="197"/>
      <c r="C21" s="194">
        <v>4</v>
      </c>
      <c r="D21" s="4">
        <v>640</v>
      </c>
      <c r="E21" s="4">
        <v>1.52</v>
      </c>
      <c r="F21" s="33" t="s">
        <v>35</v>
      </c>
      <c r="G21" s="4">
        <v>1.32</v>
      </c>
      <c r="H21" s="34" t="s">
        <v>47</v>
      </c>
      <c r="I21" s="200">
        <f t="shared" si="0"/>
        <v>0.19999999999999996</v>
      </c>
      <c r="J21" s="203"/>
    </row>
    <row r="22" spans="2:10" x14ac:dyDescent="0.35">
      <c r="B22" s="197"/>
      <c r="C22" s="194">
        <v>4.5</v>
      </c>
      <c r="D22" s="4">
        <v>640</v>
      </c>
      <c r="E22" s="4">
        <v>1.69</v>
      </c>
      <c r="F22" s="35" t="s">
        <v>36</v>
      </c>
      <c r="G22" s="4">
        <v>1.35</v>
      </c>
      <c r="H22" s="36" t="s">
        <v>48</v>
      </c>
      <c r="I22" s="200">
        <f t="shared" si="0"/>
        <v>0.33999999999999986</v>
      </c>
      <c r="J22" s="203"/>
    </row>
    <row r="23" spans="2:10" x14ac:dyDescent="0.35">
      <c r="B23" s="197"/>
      <c r="C23" s="194">
        <v>5</v>
      </c>
      <c r="D23" s="4">
        <v>640</v>
      </c>
      <c r="E23" s="4">
        <v>2</v>
      </c>
      <c r="F23" s="37" t="s">
        <v>37</v>
      </c>
      <c r="G23" s="4">
        <v>1.73</v>
      </c>
      <c r="H23" s="38" t="s">
        <v>49</v>
      </c>
      <c r="I23" s="200">
        <f t="shared" si="0"/>
        <v>0.27</v>
      </c>
      <c r="J23" s="203"/>
    </row>
    <row r="24" spans="2:10" x14ac:dyDescent="0.35">
      <c r="B24" s="197"/>
      <c r="C24" s="194">
        <v>5.5</v>
      </c>
      <c r="D24" s="4">
        <v>640</v>
      </c>
      <c r="E24" s="4">
        <v>2</v>
      </c>
      <c r="F24" s="39" t="s">
        <v>38</v>
      </c>
      <c r="G24" s="4">
        <v>1.74</v>
      </c>
      <c r="H24" s="40" t="s">
        <v>50</v>
      </c>
      <c r="I24" s="200">
        <f t="shared" si="0"/>
        <v>0.26</v>
      </c>
      <c r="J24" s="203"/>
    </row>
    <row r="25" spans="2:10" ht="15" thickBot="1" x14ac:dyDescent="0.4">
      <c r="B25" s="198"/>
      <c r="C25" s="195">
        <v>6</v>
      </c>
      <c r="D25" s="167">
        <v>640</v>
      </c>
      <c r="E25" s="167">
        <v>2</v>
      </c>
      <c r="F25" s="180" t="s">
        <v>39</v>
      </c>
      <c r="G25" s="167">
        <v>1.89</v>
      </c>
      <c r="H25" s="181" t="s">
        <v>51</v>
      </c>
      <c r="I25" s="201">
        <f t="shared" si="0"/>
        <v>0.1100000000000001</v>
      </c>
      <c r="J25" s="204"/>
    </row>
    <row r="26" spans="2:10" ht="24" thickBot="1" x14ac:dyDescent="0.6">
      <c r="J26" s="1"/>
    </row>
    <row r="27" spans="2:10" x14ac:dyDescent="0.35">
      <c r="B27" s="196" t="s">
        <v>52</v>
      </c>
      <c r="C27" s="193">
        <v>0.3</v>
      </c>
      <c r="D27" s="165">
        <v>640</v>
      </c>
      <c r="E27" s="165">
        <v>0.15</v>
      </c>
      <c r="F27" s="174" t="s">
        <v>53</v>
      </c>
      <c r="G27" s="165">
        <v>0.55000000000000004</v>
      </c>
      <c r="H27" s="175" t="s">
        <v>73</v>
      </c>
      <c r="I27" s="199">
        <f t="shared" si="0"/>
        <v>-0.4</v>
      </c>
      <c r="J27" s="202">
        <f>AVERAGE(I27:I46)</f>
        <v>4.4499999999999977E-2</v>
      </c>
    </row>
    <row r="28" spans="2:10" x14ac:dyDescent="0.35">
      <c r="B28" s="197"/>
      <c r="C28" s="194">
        <v>0.6</v>
      </c>
      <c r="D28" s="4">
        <v>640</v>
      </c>
      <c r="E28" s="4">
        <v>0.28000000000000003</v>
      </c>
      <c r="F28" s="41" t="s">
        <v>54</v>
      </c>
      <c r="G28" s="4">
        <v>0.16</v>
      </c>
      <c r="H28" s="42" t="s">
        <v>74</v>
      </c>
      <c r="I28" s="200">
        <f t="shared" si="0"/>
        <v>0.12000000000000002</v>
      </c>
      <c r="J28" s="203"/>
    </row>
    <row r="29" spans="2:10" x14ac:dyDescent="0.35">
      <c r="B29" s="197"/>
      <c r="C29" s="194">
        <v>0.9</v>
      </c>
      <c r="D29" s="4">
        <v>640</v>
      </c>
      <c r="E29" s="4">
        <v>0.38</v>
      </c>
      <c r="F29" s="43" t="s">
        <v>55</v>
      </c>
      <c r="G29" s="4">
        <v>0.25</v>
      </c>
      <c r="H29" s="44" t="s">
        <v>75</v>
      </c>
      <c r="I29" s="200">
        <f t="shared" si="0"/>
        <v>0.13</v>
      </c>
      <c r="J29" s="203"/>
    </row>
    <row r="30" spans="2:10" x14ac:dyDescent="0.35">
      <c r="B30" s="197"/>
      <c r="C30" s="194">
        <v>1.1200000000000001</v>
      </c>
      <c r="D30" s="4">
        <v>640</v>
      </c>
      <c r="E30" s="4">
        <v>0.48</v>
      </c>
      <c r="F30" s="45" t="s">
        <v>56</v>
      </c>
      <c r="G30" s="4">
        <v>0.37</v>
      </c>
      <c r="H30" s="46" t="s">
        <v>76</v>
      </c>
      <c r="I30" s="200">
        <f t="shared" si="0"/>
        <v>0.10999999999999999</v>
      </c>
      <c r="J30" s="203"/>
    </row>
    <row r="31" spans="2:10" x14ac:dyDescent="0.35">
      <c r="B31" s="197"/>
      <c r="C31" s="194">
        <v>1.1499999999999999</v>
      </c>
      <c r="D31" s="4">
        <v>640</v>
      </c>
      <c r="E31" s="4">
        <v>0.57999999999999996</v>
      </c>
      <c r="F31" s="47" t="s">
        <v>57</v>
      </c>
      <c r="G31" s="4">
        <v>0.53</v>
      </c>
      <c r="H31" s="48" t="s">
        <v>77</v>
      </c>
      <c r="I31" s="200">
        <f t="shared" si="0"/>
        <v>4.9999999999999933E-2</v>
      </c>
      <c r="J31" s="203"/>
    </row>
    <row r="32" spans="2:10" x14ac:dyDescent="0.35">
      <c r="B32" s="197"/>
      <c r="C32" s="194">
        <v>1.18</v>
      </c>
      <c r="D32" s="4">
        <v>640</v>
      </c>
      <c r="E32" s="4">
        <v>0.72</v>
      </c>
      <c r="F32" s="49" t="s">
        <v>58</v>
      </c>
      <c r="G32" s="4">
        <v>0.55000000000000004</v>
      </c>
      <c r="H32" s="50" t="s">
        <v>78</v>
      </c>
      <c r="I32" s="200">
        <f t="shared" si="0"/>
        <v>0.16999999999999993</v>
      </c>
      <c r="J32" s="203"/>
    </row>
    <row r="33" spans="2:10" x14ac:dyDescent="0.35">
      <c r="B33" s="197"/>
      <c r="C33" s="194">
        <v>2.1</v>
      </c>
      <c r="D33" s="4">
        <v>640</v>
      </c>
      <c r="E33" s="4">
        <v>0.82</v>
      </c>
      <c r="F33" s="51" t="s">
        <v>59</v>
      </c>
      <c r="G33" s="4">
        <v>0.81</v>
      </c>
      <c r="H33" s="52" t="s">
        <v>79</v>
      </c>
      <c r="I33" s="200">
        <f t="shared" si="0"/>
        <v>9.9999999999998979E-3</v>
      </c>
      <c r="J33" s="203"/>
    </row>
    <row r="34" spans="2:10" x14ac:dyDescent="0.35">
      <c r="B34" s="197"/>
      <c r="C34" s="194">
        <v>2.4</v>
      </c>
      <c r="D34" s="4">
        <v>640</v>
      </c>
      <c r="E34" s="4">
        <v>0.96</v>
      </c>
      <c r="F34" s="53" t="s">
        <v>60</v>
      </c>
      <c r="G34" s="4">
        <v>0.88</v>
      </c>
      <c r="H34" s="54" t="s">
        <v>80</v>
      </c>
      <c r="I34" s="200">
        <f t="shared" si="0"/>
        <v>7.999999999999996E-2</v>
      </c>
      <c r="J34" s="203"/>
    </row>
    <row r="35" spans="2:10" x14ac:dyDescent="0.35">
      <c r="B35" s="197"/>
      <c r="C35" s="194">
        <v>2.7</v>
      </c>
      <c r="D35" s="4">
        <v>640</v>
      </c>
      <c r="E35" s="4">
        <v>1.0900000000000001</v>
      </c>
      <c r="F35" s="55" t="s">
        <v>61</v>
      </c>
      <c r="G35" s="4">
        <v>0.96</v>
      </c>
      <c r="H35" s="56" t="s">
        <v>81</v>
      </c>
      <c r="I35" s="200">
        <f t="shared" si="0"/>
        <v>0.13000000000000012</v>
      </c>
      <c r="J35" s="203"/>
    </row>
    <row r="36" spans="2:10" x14ac:dyDescent="0.35">
      <c r="B36" s="197"/>
      <c r="C36" s="194">
        <v>3</v>
      </c>
      <c r="D36" s="4">
        <v>640</v>
      </c>
      <c r="E36" s="4">
        <v>1.1499999999999999</v>
      </c>
      <c r="F36" s="57" t="s">
        <v>62</v>
      </c>
      <c r="G36" s="4">
        <v>1.07</v>
      </c>
      <c r="H36" s="58" t="s">
        <v>82</v>
      </c>
      <c r="I36" s="200">
        <f t="shared" si="0"/>
        <v>7.9999999999999849E-2</v>
      </c>
      <c r="J36" s="203"/>
    </row>
    <row r="37" spans="2:10" x14ac:dyDescent="0.35">
      <c r="B37" s="197"/>
      <c r="C37" s="194">
        <v>3.3</v>
      </c>
      <c r="D37" s="4">
        <v>640</v>
      </c>
      <c r="E37" s="4">
        <v>1.3</v>
      </c>
      <c r="F37" s="59" t="s">
        <v>63</v>
      </c>
      <c r="G37" s="4">
        <v>1.27</v>
      </c>
      <c r="H37" s="58" t="s">
        <v>82</v>
      </c>
      <c r="I37" s="200">
        <f t="shared" si="0"/>
        <v>3.0000000000000027E-2</v>
      </c>
      <c r="J37" s="203"/>
    </row>
    <row r="38" spans="2:10" x14ac:dyDescent="0.35">
      <c r="B38" s="197"/>
      <c r="C38" s="194">
        <v>3.6</v>
      </c>
      <c r="D38" s="4">
        <v>640</v>
      </c>
      <c r="E38" s="4">
        <v>1.39</v>
      </c>
      <c r="F38" s="60" t="s">
        <v>64</v>
      </c>
      <c r="G38" s="4">
        <v>1.38</v>
      </c>
      <c r="H38" s="61" t="s">
        <v>83</v>
      </c>
      <c r="I38" s="200">
        <f t="shared" si="0"/>
        <v>1.0000000000000009E-2</v>
      </c>
      <c r="J38" s="203"/>
    </row>
    <row r="39" spans="2:10" x14ac:dyDescent="0.35">
      <c r="B39" s="197"/>
      <c r="C39" s="194">
        <v>3.9</v>
      </c>
      <c r="D39" s="4">
        <v>640</v>
      </c>
      <c r="E39" s="4">
        <v>1.52</v>
      </c>
      <c r="F39" s="62" t="s">
        <v>65</v>
      </c>
      <c r="G39" s="4">
        <v>1.44</v>
      </c>
      <c r="H39" s="63" t="s">
        <v>84</v>
      </c>
      <c r="I39" s="200">
        <f t="shared" si="0"/>
        <v>8.0000000000000071E-2</v>
      </c>
      <c r="J39" s="203"/>
    </row>
    <row r="40" spans="2:10" x14ac:dyDescent="0.35">
      <c r="B40" s="197"/>
      <c r="C40" s="194">
        <v>4.2</v>
      </c>
      <c r="D40" s="4">
        <v>640</v>
      </c>
      <c r="E40" s="4">
        <v>1.69</v>
      </c>
      <c r="F40" s="64" t="s">
        <v>66</v>
      </c>
      <c r="G40" s="4">
        <v>1.58</v>
      </c>
      <c r="H40" s="65" t="s">
        <v>85</v>
      </c>
      <c r="I40" s="200">
        <f t="shared" si="0"/>
        <v>0.10999999999999988</v>
      </c>
      <c r="J40" s="203"/>
    </row>
    <row r="41" spans="2:10" x14ac:dyDescent="0.35">
      <c r="B41" s="197"/>
      <c r="C41" s="194">
        <v>4.5</v>
      </c>
      <c r="D41" s="4">
        <v>640</v>
      </c>
      <c r="E41" s="4">
        <v>1.69</v>
      </c>
      <c r="F41" s="66" t="s">
        <v>67</v>
      </c>
      <c r="G41" s="4">
        <v>1.72</v>
      </c>
      <c r="H41" s="67" t="s">
        <v>86</v>
      </c>
      <c r="I41" s="200">
        <f t="shared" si="0"/>
        <v>-3.0000000000000027E-2</v>
      </c>
      <c r="J41" s="203"/>
    </row>
    <row r="42" spans="2:10" x14ac:dyDescent="0.35">
      <c r="B42" s="197"/>
      <c r="C42" s="194">
        <v>4.8</v>
      </c>
      <c r="D42" s="4">
        <v>640</v>
      </c>
      <c r="E42" s="4">
        <v>1.69</v>
      </c>
      <c r="F42" s="68" t="s">
        <v>68</v>
      </c>
      <c r="G42" s="4">
        <v>1.72</v>
      </c>
      <c r="H42" s="69" t="s">
        <v>87</v>
      </c>
      <c r="I42" s="200">
        <f t="shared" si="0"/>
        <v>-3.0000000000000027E-2</v>
      </c>
      <c r="J42" s="203"/>
    </row>
    <row r="43" spans="2:10" x14ac:dyDescent="0.35">
      <c r="B43" s="197"/>
      <c r="C43" s="194">
        <v>5.0999999999999996</v>
      </c>
      <c r="D43" s="4">
        <v>640</v>
      </c>
      <c r="E43" s="4">
        <v>1.69</v>
      </c>
      <c r="F43" s="70" t="s">
        <v>69</v>
      </c>
      <c r="G43" s="4">
        <v>1.75</v>
      </c>
      <c r="H43" s="71" t="s">
        <v>88</v>
      </c>
      <c r="I43" s="200">
        <f t="shared" si="0"/>
        <v>-6.0000000000000053E-2</v>
      </c>
      <c r="J43" s="203"/>
    </row>
    <row r="44" spans="2:10" x14ac:dyDescent="0.35">
      <c r="B44" s="197"/>
      <c r="C44" s="194">
        <v>5.4</v>
      </c>
      <c r="D44" s="4">
        <v>640</v>
      </c>
      <c r="E44" s="4">
        <v>2</v>
      </c>
      <c r="F44" s="72" t="s">
        <v>70</v>
      </c>
      <c r="G44" s="4">
        <v>1.83</v>
      </c>
      <c r="H44" s="73" t="s">
        <v>89</v>
      </c>
      <c r="I44" s="200">
        <f t="shared" si="0"/>
        <v>0.16999999999999993</v>
      </c>
      <c r="J44" s="203"/>
    </row>
    <row r="45" spans="2:10" x14ac:dyDescent="0.35">
      <c r="B45" s="197"/>
      <c r="C45" s="194">
        <v>5.7</v>
      </c>
      <c r="D45" s="4">
        <v>640</v>
      </c>
      <c r="E45" s="4">
        <v>2</v>
      </c>
      <c r="F45" s="74" t="s">
        <v>71</v>
      </c>
      <c r="G45" s="4">
        <v>1.93</v>
      </c>
      <c r="H45" s="75" t="s">
        <v>90</v>
      </c>
      <c r="I45" s="200">
        <f t="shared" si="0"/>
        <v>7.0000000000000062E-2</v>
      </c>
      <c r="J45" s="203"/>
    </row>
    <row r="46" spans="2:10" ht="15" thickBot="1" x14ac:dyDescent="0.4">
      <c r="B46" s="198"/>
      <c r="C46" s="195">
        <v>6</v>
      </c>
      <c r="D46" s="167">
        <v>640</v>
      </c>
      <c r="E46" s="167">
        <v>2</v>
      </c>
      <c r="F46" s="176" t="s">
        <v>72</v>
      </c>
      <c r="G46" s="167">
        <v>1.94</v>
      </c>
      <c r="H46" s="177" t="s">
        <v>91</v>
      </c>
      <c r="I46" s="201">
        <f t="shared" si="0"/>
        <v>6.0000000000000053E-2</v>
      </c>
      <c r="J46" s="204"/>
    </row>
    <row r="47" spans="2:10" ht="24" thickBot="1" x14ac:dyDescent="0.6">
      <c r="J47" s="1"/>
    </row>
    <row r="48" spans="2:10" x14ac:dyDescent="0.35">
      <c r="B48" s="196" t="s">
        <v>93</v>
      </c>
      <c r="C48" s="193">
        <v>0.25</v>
      </c>
      <c r="D48" s="165">
        <v>640</v>
      </c>
      <c r="E48" s="165">
        <v>0.09</v>
      </c>
      <c r="F48" s="170" t="s">
        <v>94</v>
      </c>
      <c r="G48" s="165">
        <v>0.53</v>
      </c>
      <c r="H48" s="171" t="s">
        <v>113</v>
      </c>
      <c r="I48" s="199">
        <f t="shared" si="0"/>
        <v>-0.44000000000000006</v>
      </c>
      <c r="J48" s="202">
        <f>AVERAGE(I48:I66)</f>
        <v>3.0000000000000002E-2</v>
      </c>
    </row>
    <row r="49" spans="2:10" x14ac:dyDescent="0.35">
      <c r="B49" s="197"/>
      <c r="C49" s="194">
        <v>0.5</v>
      </c>
      <c r="D49" s="4">
        <v>640</v>
      </c>
      <c r="E49" s="4">
        <v>0.16</v>
      </c>
      <c r="F49" s="77" t="s">
        <v>95</v>
      </c>
      <c r="G49" s="4">
        <v>0.16</v>
      </c>
      <c r="H49" s="78" t="s">
        <v>114</v>
      </c>
      <c r="I49" s="200">
        <f t="shared" si="0"/>
        <v>0</v>
      </c>
      <c r="J49" s="203"/>
    </row>
    <row r="50" spans="2:10" x14ac:dyDescent="0.35">
      <c r="B50" s="197"/>
      <c r="C50" s="194">
        <v>0.75</v>
      </c>
      <c r="D50" s="4">
        <v>640</v>
      </c>
      <c r="E50" s="4">
        <v>0.28000000000000003</v>
      </c>
      <c r="F50" s="79" t="s">
        <v>96</v>
      </c>
      <c r="G50" s="4">
        <v>0.26</v>
      </c>
      <c r="H50" s="80" t="s">
        <v>115</v>
      </c>
      <c r="I50" s="200">
        <f t="shared" si="0"/>
        <v>2.0000000000000018E-2</v>
      </c>
      <c r="J50" s="203"/>
    </row>
    <row r="51" spans="2:10" x14ac:dyDescent="0.35">
      <c r="B51" s="197"/>
      <c r="C51" s="194">
        <v>1</v>
      </c>
      <c r="D51" s="4">
        <v>640</v>
      </c>
      <c r="E51" s="4">
        <v>0.36</v>
      </c>
      <c r="F51" s="81" t="s">
        <v>97</v>
      </c>
      <c r="G51" s="4">
        <v>0.36</v>
      </c>
      <c r="H51" s="82" t="s">
        <v>116</v>
      </c>
      <c r="I51" s="200">
        <f t="shared" si="0"/>
        <v>0</v>
      </c>
      <c r="J51" s="203"/>
    </row>
    <row r="52" spans="2:10" x14ac:dyDescent="0.35">
      <c r="B52" s="197"/>
      <c r="C52" s="194">
        <v>1.25</v>
      </c>
      <c r="D52" s="4">
        <v>640</v>
      </c>
      <c r="E52" s="4">
        <v>0.45</v>
      </c>
      <c r="F52" s="83" t="s">
        <v>98</v>
      </c>
      <c r="G52" s="4">
        <v>0.5</v>
      </c>
      <c r="H52" s="84" t="s">
        <v>117</v>
      </c>
      <c r="I52" s="200">
        <f t="shared" si="0"/>
        <v>-4.9999999999999989E-2</v>
      </c>
      <c r="J52" s="203"/>
    </row>
    <row r="53" spans="2:10" x14ac:dyDescent="0.35">
      <c r="B53" s="197"/>
      <c r="C53" s="194">
        <v>1.5</v>
      </c>
      <c r="D53" s="4">
        <v>640</v>
      </c>
      <c r="E53" s="4">
        <v>0.55000000000000004</v>
      </c>
      <c r="F53" s="85" t="s">
        <v>99</v>
      </c>
      <c r="G53" s="4">
        <v>0.53</v>
      </c>
      <c r="H53" s="76" t="s">
        <v>113</v>
      </c>
      <c r="I53" s="200">
        <f t="shared" si="0"/>
        <v>2.0000000000000018E-2</v>
      </c>
      <c r="J53" s="203"/>
    </row>
    <row r="54" spans="2:10" x14ac:dyDescent="0.35">
      <c r="B54" s="197"/>
      <c r="C54" s="194">
        <v>1.75</v>
      </c>
      <c r="D54" s="4">
        <v>640</v>
      </c>
      <c r="E54" s="4">
        <v>0.63</v>
      </c>
      <c r="F54" s="86" t="s">
        <v>100</v>
      </c>
      <c r="G54" s="4">
        <v>0.57999999999999996</v>
      </c>
      <c r="H54" s="87" t="s">
        <v>118</v>
      </c>
      <c r="I54" s="200">
        <f t="shared" si="0"/>
        <v>5.0000000000000044E-2</v>
      </c>
      <c r="J54" s="203"/>
    </row>
    <row r="55" spans="2:10" x14ac:dyDescent="0.35">
      <c r="B55" s="197"/>
      <c r="C55" s="194">
        <v>2</v>
      </c>
      <c r="D55" s="4">
        <v>640</v>
      </c>
      <c r="E55" s="4">
        <v>0.74</v>
      </c>
      <c r="F55" s="88" t="s">
        <v>101</v>
      </c>
      <c r="G55" s="4">
        <v>0.76</v>
      </c>
      <c r="H55" s="89" t="s">
        <v>119</v>
      </c>
      <c r="I55" s="200">
        <f t="shared" si="0"/>
        <v>-2.0000000000000018E-2</v>
      </c>
      <c r="J55" s="203"/>
    </row>
    <row r="56" spans="2:10" x14ac:dyDescent="0.35">
      <c r="B56" s="197"/>
      <c r="C56" s="194">
        <v>2.25</v>
      </c>
      <c r="D56" s="4">
        <v>640</v>
      </c>
      <c r="E56" s="4">
        <v>0.85</v>
      </c>
      <c r="F56" s="90" t="s">
        <v>102</v>
      </c>
      <c r="G56" s="4">
        <v>0.81</v>
      </c>
      <c r="H56" s="91" t="s">
        <v>120</v>
      </c>
      <c r="I56" s="200">
        <f t="shared" si="0"/>
        <v>3.9999999999999925E-2</v>
      </c>
      <c r="J56" s="203"/>
    </row>
    <row r="57" spans="2:10" x14ac:dyDescent="0.35">
      <c r="B57" s="197"/>
      <c r="C57" s="194">
        <v>2.5</v>
      </c>
      <c r="D57" s="4">
        <v>640</v>
      </c>
      <c r="E57" s="4">
        <v>0.92</v>
      </c>
      <c r="F57" s="92" t="s">
        <v>103</v>
      </c>
      <c r="G57" s="4">
        <v>0.91</v>
      </c>
      <c r="H57" s="93" t="s">
        <v>121</v>
      </c>
      <c r="I57" s="200">
        <f t="shared" si="0"/>
        <v>1.0000000000000009E-2</v>
      </c>
      <c r="J57" s="203"/>
    </row>
    <row r="58" spans="2:10" x14ac:dyDescent="0.35">
      <c r="B58" s="197"/>
      <c r="C58" s="194">
        <v>2.75</v>
      </c>
      <c r="D58" s="4">
        <v>640</v>
      </c>
      <c r="E58" s="4">
        <v>1</v>
      </c>
      <c r="F58" s="94" t="s">
        <v>104</v>
      </c>
      <c r="G58" s="4">
        <v>0.92</v>
      </c>
      <c r="H58" s="95" t="s">
        <v>122</v>
      </c>
      <c r="I58" s="200">
        <f t="shared" si="0"/>
        <v>7.999999999999996E-2</v>
      </c>
      <c r="J58" s="203"/>
    </row>
    <row r="59" spans="2:10" x14ac:dyDescent="0.35">
      <c r="B59" s="197"/>
      <c r="C59" s="194">
        <v>3</v>
      </c>
      <c r="D59" s="4">
        <v>640</v>
      </c>
      <c r="E59" s="4">
        <v>1.0900000000000001</v>
      </c>
      <c r="F59" s="96" t="s">
        <v>105</v>
      </c>
      <c r="G59" s="4">
        <v>1.02</v>
      </c>
      <c r="H59" s="97" t="s">
        <v>123</v>
      </c>
      <c r="I59" s="200">
        <f t="shared" si="0"/>
        <v>7.0000000000000062E-2</v>
      </c>
      <c r="J59" s="203"/>
    </row>
    <row r="60" spans="2:10" x14ac:dyDescent="0.35">
      <c r="B60" s="197"/>
      <c r="C60" s="194">
        <v>3.25</v>
      </c>
      <c r="D60" s="4">
        <v>640</v>
      </c>
      <c r="E60" s="4">
        <v>1.22</v>
      </c>
      <c r="F60" s="98" t="s">
        <v>106</v>
      </c>
      <c r="G60" s="4">
        <v>1.21</v>
      </c>
      <c r="H60" s="99" t="s">
        <v>106</v>
      </c>
      <c r="I60" s="200">
        <f t="shared" si="0"/>
        <v>1.0000000000000009E-2</v>
      </c>
      <c r="J60" s="203"/>
    </row>
    <row r="61" spans="2:10" x14ac:dyDescent="0.35">
      <c r="B61" s="197"/>
      <c r="C61" s="194">
        <v>3.5</v>
      </c>
      <c r="D61" s="4">
        <v>640</v>
      </c>
      <c r="E61" s="4">
        <v>1.3</v>
      </c>
      <c r="F61" s="100" t="s">
        <v>107</v>
      </c>
      <c r="G61" s="4">
        <v>1.32</v>
      </c>
      <c r="H61" s="101" t="s">
        <v>124</v>
      </c>
      <c r="I61" s="200">
        <f t="shared" si="0"/>
        <v>-2.0000000000000018E-2</v>
      </c>
      <c r="J61" s="203"/>
    </row>
    <row r="62" spans="2:10" x14ac:dyDescent="0.35">
      <c r="B62" s="197"/>
      <c r="C62" s="194">
        <v>3.75</v>
      </c>
      <c r="D62" s="4">
        <v>640</v>
      </c>
      <c r="E62" s="4">
        <v>1.52</v>
      </c>
      <c r="F62" s="102" t="s">
        <v>108</v>
      </c>
      <c r="G62" s="4">
        <v>1.41</v>
      </c>
      <c r="H62" s="103" t="s">
        <v>125</v>
      </c>
      <c r="I62" s="200">
        <f t="shared" si="0"/>
        <v>0.1100000000000001</v>
      </c>
      <c r="J62" s="203"/>
    </row>
    <row r="63" spans="2:10" x14ac:dyDescent="0.35">
      <c r="B63" s="197"/>
      <c r="C63" s="194">
        <v>4</v>
      </c>
      <c r="D63" s="4">
        <v>640</v>
      </c>
      <c r="E63" s="4">
        <v>1.69</v>
      </c>
      <c r="F63" s="104" t="s">
        <v>109</v>
      </c>
      <c r="G63" s="4">
        <v>1.38</v>
      </c>
      <c r="H63" s="105" t="s">
        <v>126</v>
      </c>
      <c r="I63" s="200">
        <f t="shared" si="0"/>
        <v>0.31000000000000005</v>
      </c>
      <c r="J63" s="203"/>
    </row>
    <row r="64" spans="2:10" x14ac:dyDescent="0.35">
      <c r="B64" s="197"/>
      <c r="C64" s="194">
        <v>4.25</v>
      </c>
      <c r="D64" s="4">
        <v>640</v>
      </c>
      <c r="E64" s="4">
        <v>1.69</v>
      </c>
      <c r="F64" s="106" t="s">
        <v>110</v>
      </c>
      <c r="G64" s="4">
        <v>1.7</v>
      </c>
      <c r="H64" s="107" t="s">
        <v>127</v>
      </c>
      <c r="I64" s="200">
        <f t="shared" si="0"/>
        <v>-1.0000000000000009E-2</v>
      </c>
      <c r="J64" s="203"/>
    </row>
    <row r="65" spans="2:10" x14ac:dyDescent="0.35">
      <c r="B65" s="197"/>
      <c r="C65" s="194">
        <v>4.5</v>
      </c>
      <c r="D65" s="4">
        <v>640</v>
      </c>
      <c r="E65" s="4">
        <v>2</v>
      </c>
      <c r="F65" s="108" t="s">
        <v>111</v>
      </c>
      <c r="G65" s="4">
        <v>1.8</v>
      </c>
      <c r="H65" s="109" t="s">
        <v>128</v>
      </c>
      <c r="I65" s="200">
        <f t="shared" si="0"/>
        <v>0.19999999999999996</v>
      </c>
      <c r="J65" s="203"/>
    </row>
    <row r="66" spans="2:10" ht="15" thickBot="1" x14ac:dyDescent="0.4">
      <c r="B66" s="198"/>
      <c r="C66" s="195">
        <v>4.75</v>
      </c>
      <c r="D66" s="167">
        <v>640</v>
      </c>
      <c r="E66" s="167">
        <v>2</v>
      </c>
      <c r="F66" s="172" t="s">
        <v>112</v>
      </c>
      <c r="G66" s="167">
        <v>1.81</v>
      </c>
      <c r="H66" s="173" t="s">
        <v>129</v>
      </c>
      <c r="I66" s="201">
        <f t="shared" si="0"/>
        <v>0.18999999999999995</v>
      </c>
      <c r="J66" s="204"/>
    </row>
    <row r="67" spans="2:10" ht="24" thickBot="1" x14ac:dyDescent="0.6">
      <c r="J67" s="1"/>
    </row>
    <row r="68" spans="2:10" x14ac:dyDescent="0.35">
      <c r="B68" s="196" t="s">
        <v>130</v>
      </c>
      <c r="C68" s="193">
        <v>0.2</v>
      </c>
      <c r="D68" s="165">
        <v>640</v>
      </c>
      <c r="E68" s="165">
        <v>0.08</v>
      </c>
      <c r="F68" s="165"/>
      <c r="G68" s="165">
        <v>0.16</v>
      </c>
      <c r="H68" s="166" t="s">
        <v>114</v>
      </c>
      <c r="I68" s="199">
        <f t="shared" si="0"/>
        <v>-0.08</v>
      </c>
      <c r="J68" s="202">
        <f>AVERAGE(I68:I99)</f>
        <v>-3.000000000000002E-2</v>
      </c>
    </row>
    <row r="69" spans="2:10" x14ac:dyDescent="0.35">
      <c r="B69" s="197"/>
      <c r="C69" s="194">
        <v>0.4</v>
      </c>
      <c r="D69" s="4">
        <v>640</v>
      </c>
      <c r="E69" s="4">
        <v>0.14000000000000001</v>
      </c>
      <c r="F69" s="4"/>
      <c r="G69" s="4">
        <v>0.16</v>
      </c>
      <c r="H69" s="78" t="s">
        <v>114</v>
      </c>
      <c r="I69" s="200">
        <f t="shared" si="0"/>
        <v>-1.999999999999999E-2</v>
      </c>
      <c r="J69" s="203"/>
    </row>
    <row r="70" spans="2:10" x14ac:dyDescent="0.35">
      <c r="B70" s="197"/>
      <c r="C70" s="194">
        <v>0.6</v>
      </c>
      <c r="D70" s="4">
        <v>640</v>
      </c>
      <c r="E70" s="4">
        <v>0.21</v>
      </c>
      <c r="F70" s="110" t="s">
        <v>131</v>
      </c>
      <c r="G70" s="4">
        <v>0.24</v>
      </c>
      <c r="H70" s="111" t="s">
        <v>160</v>
      </c>
      <c r="I70" s="200">
        <f t="shared" ref="I70:I99" si="1">E70-G70</f>
        <v>-0.03</v>
      </c>
      <c r="J70" s="203"/>
    </row>
    <row r="71" spans="2:10" x14ac:dyDescent="0.35">
      <c r="B71" s="197"/>
      <c r="C71" s="194">
        <v>0.8</v>
      </c>
      <c r="D71" s="4">
        <v>640</v>
      </c>
      <c r="E71" s="4">
        <v>0.52</v>
      </c>
      <c r="F71" s="112" t="s">
        <v>132</v>
      </c>
      <c r="G71" s="4">
        <v>0.28000000000000003</v>
      </c>
      <c r="H71" s="113" t="s">
        <v>161</v>
      </c>
      <c r="I71" s="200">
        <f t="shared" si="1"/>
        <v>0.24</v>
      </c>
      <c r="J71" s="203"/>
    </row>
    <row r="72" spans="2:10" x14ac:dyDescent="0.35">
      <c r="B72" s="197"/>
      <c r="C72" s="194">
        <v>1</v>
      </c>
      <c r="D72" s="4">
        <v>640</v>
      </c>
      <c r="E72" s="4">
        <v>0.33</v>
      </c>
      <c r="F72" s="114" t="s">
        <v>133</v>
      </c>
      <c r="G72" s="4">
        <v>0.36</v>
      </c>
      <c r="H72" s="82" t="s">
        <v>116</v>
      </c>
      <c r="I72" s="200">
        <f t="shared" si="1"/>
        <v>-2.9999999999999971E-2</v>
      </c>
      <c r="J72" s="203"/>
    </row>
    <row r="73" spans="2:10" x14ac:dyDescent="0.35">
      <c r="B73" s="197"/>
      <c r="C73" s="194">
        <v>1.2</v>
      </c>
      <c r="D73" s="4">
        <v>640</v>
      </c>
      <c r="E73" s="4">
        <v>0.4</v>
      </c>
      <c r="F73" s="115" t="s">
        <v>134</v>
      </c>
      <c r="G73" s="4">
        <v>0.48</v>
      </c>
      <c r="H73" s="116" t="s">
        <v>162</v>
      </c>
      <c r="I73" s="200">
        <f t="shared" si="1"/>
        <v>-7.999999999999996E-2</v>
      </c>
      <c r="J73" s="203"/>
    </row>
    <row r="74" spans="2:10" x14ac:dyDescent="0.35">
      <c r="B74" s="197"/>
      <c r="C74" s="194">
        <v>1.4</v>
      </c>
      <c r="D74" s="4">
        <v>640</v>
      </c>
      <c r="E74" s="4">
        <v>0.48</v>
      </c>
      <c r="F74" s="117" t="s">
        <v>135</v>
      </c>
      <c r="G74" s="4">
        <v>0.49</v>
      </c>
      <c r="H74" s="118" t="s">
        <v>163</v>
      </c>
      <c r="I74" s="200">
        <f t="shared" si="1"/>
        <v>-1.0000000000000009E-2</v>
      </c>
      <c r="J74" s="203"/>
    </row>
    <row r="75" spans="2:10" x14ac:dyDescent="0.35">
      <c r="B75" s="197"/>
      <c r="C75" s="194">
        <v>1.6</v>
      </c>
      <c r="D75" s="4">
        <v>640</v>
      </c>
      <c r="E75" s="4">
        <v>0.53</v>
      </c>
      <c r="F75" s="119" t="s">
        <v>136</v>
      </c>
      <c r="G75" s="4">
        <v>0.51</v>
      </c>
      <c r="H75" s="120" t="s">
        <v>164</v>
      </c>
      <c r="I75" s="200">
        <f t="shared" si="1"/>
        <v>2.0000000000000018E-2</v>
      </c>
      <c r="J75" s="203"/>
    </row>
    <row r="76" spans="2:10" x14ac:dyDescent="0.35">
      <c r="B76" s="197"/>
      <c r="C76" s="194">
        <v>1.8</v>
      </c>
      <c r="D76" s="4">
        <v>640</v>
      </c>
      <c r="E76" s="4">
        <v>0.56000000000000005</v>
      </c>
      <c r="F76" s="121" t="s">
        <v>137</v>
      </c>
      <c r="G76" s="4">
        <v>0.6</v>
      </c>
      <c r="H76" s="122" t="s">
        <v>165</v>
      </c>
      <c r="I76" s="200">
        <f t="shared" si="1"/>
        <v>-3.9999999999999925E-2</v>
      </c>
      <c r="J76" s="203"/>
    </row>
    <row r="77" spans="2:10" x14ac:dyDescent="0.35">
      <c r="B77" s="197"/>
      <c r="C77" s="194">
        <v>2</v>
      </c>
      <c r="D77" s="4">
        <v>640</v>
      </c>
      <c r="E77" s="4">
        <v>0.63</v>
      </c>
      <c r="F77" s="123" t="s">
        <v>138</v>
      </c>
      <c r="G77" s="4">
        <v>0.7</v>
      </c>
      <c r="H77" s="124" t="s">
        <v>166</v>
      </c>
      <c r="I77" s="200">
        <f t="shared" si="1"/>
        <v>-6.9999999999999951E-2</v>
      </c>
      <c r="J77" s="203"/>
    </row>
    <row r="78" spans="2:10" x14ac:dyDescent="0.35">
      <c r="B78" s="197"/>
      <c r="C78" s="194">
        <v>2.2000000000000002</v>
      </c>
      <c r="D78" s="4">
        <v>640</v>
      </c>
      <c r="E78" s="4">
        <v>0.69</v>
      </c>
      <c r="F78" s="125" t="s">
        <v>139</v>
      </c>
      <c r="G78" s="4">
        <v>0.73</v>
      </c>
      <c r="H78" s="126" t="s">
        <v>167</v>
      </c>
      <c r="I78" s="200">
        <f t="shared" si="1"/>
        <v>-4.0000000000000036E-2</v>
      </c>
      <c r="J78" s="203"/>
    </row>
    <row r="79" spans="2:10" x14ac:dyDescent="0.35">
      <c r="B79" s="197"/>
      <c r="C79" s="194">
        <v>2.4</v>
      </c>
      <c r="D79" s="4">
        <v>640</v>
      </c>
      <c r="E79" s="4">
        <v>0.74</v>
      </c>
      <c r="F79" s="127" t="s">
        <v>140</v>
      </c>
      <c r="G79" s="4">
        <v>0.79</v>
      </c>
      <c r="H79" s="128" t="s">
        <v>168</v>
      </c>
      <c r="I79" s="200">
        <f t="shared" si="1"/>
        <v>-5.0000000000000044E-2</v>
      </c>
      <c r="J79" s="203"/>
    </row>
    <row r="80" spans="2:10" x14ac:dyDescent="0.35">
      <c r="B80" s="197"/>
      <c r="C80" s="194">
        <v>2.6</v>
      </c>
      <c r="D80" s="4">
        <v>640</v>
      </c>
      <c r="E80" s="4">
        <v>0.82</v>
      </c>
      <c r="F80" s="129" t="s">
        <v>141</v>
      </c>
      <c r="G80" s="4">
        <v>0.87</v>
      </c>
      <c r="H80" s="130" t="s">
        <v>169</v>
      </c>
      <c r="I80" s="200">
        <f t="shared" si="1"/>
        <v>-5.0000000000000044E-2</v>
      </c>
      <c r="J80" s="203"/>
    </row>
    <row r="81" spans="2:10" x14ac:dyDescent="0.35">
      <c r="B81" s="197"/>
      <c r="C81" s="194">
        <v>2.8</v>
      </c>
      <c r="D81" s="4">
        <v>640</v>
      </c>
      <c r="E81" s="4">
        <v>0.85</v>
      </c>
      <c r="F81" s="131" t="s">
        <v>142</v>
      </c>
      <c r="G81" s="4">
        <v>0.9</v>
      </c>
      <c r="H81" s="132" t="s">
        <v>170</v>
      </c>
      <c r="I81" s="200">
        <f t="shared" si="1"/>
        <v>-5.0000000000000044E-2</v>
      </c>
      <c r="J81" s="203"/>
    </row>
    <row r="82" spans="2:10" x14ac:dyDescent="0.35">
      <c r="B82" s="197"/>
      <c r="C82" s="194">
        <v>3</v>
      </c>
      <c r="D82" s="4">
        <v>640</v>
      </c>
      <c r="E82" s="4">
        <v>0.92</v>
      </c>
      <c r="F82" s="133" t="s">
        <v>143</v>
      </c>
      <c r="G82" s="4">
        <v>0.97</v>
      </c>
      <c r="H82" s="134" t="s">
        <v>171</v>
      </c>
      <c r="I82" s="200">
        <f t="shared" si="1"/>
        <v>-4.9999999999999933E-2</v>
      </c>
      <c r="J82" s="203"/>
    </row>
    <row r="83" spans="2:10" x14ac:dyDescent="0.35">
      <c r="B83" s="197"/>
      <c r="C83" s="194">
        <v>3.2</v>
      </c>
      <c r="D83" s="4">
        <v>640</v>
      </c>
      <c r="E83" s="4">
        <v>1</v>
      </c>
      <c r="F83" s="135" t="s">
        <v>144</v>
      </c>
      <c r="G83" s="4">
        <v>1.1000000000000001</v>
      </c>
      <c r="H83" s="136" t="s">
        <v>172</v>
      </c>
      <c r="I83" s="200">
        <f t="shared" si="1"/>
        <v>-0.10000000000000009</v>
      </c>
      <c r="J83" s="203"/>
    </row>
    <row r="84" spans="2:10" x14ac:dyDescent="0.35">
      <c r="B84" s="197"/>
      <c r="C84" s="194">
        <v>3.4</v>
      </c>
      <c r="D84" s="4">
        <v>640</v>
      </c>
      <c r="E84" s="4">
        <v>1.05</v>
      </c>
      <c r="F84" s="137" t="s">
        <v>145</v>
      </c>
      <c r="G84" s="4">
        <v>1.1100000000000001</v>
      </c>
      <c r="H84" s="138" t="s">
        <v>173</v>
      </c>
      <c r="I84" s="200">
        <f t="shared" si="1"/>
        <v>-6.0000000000000053E-2</v>
      </c>
      <c r="J84" s="203"/>
    </row>
    <row r="85" spans="2:10" x14ac:dyDescent="0.35">
      <c r="B85" s="197"/>
      <c r="C85" s="194">
        <v>3.6</v>
      </c>
      <c r="D85" s="4">
        <v>640</v>
      </c>
      <c r="E85" s="4">
        <v>1.0900000000000001</v>
      </c>
      <c r="F85" s="139" t="s">
        <v>146</v>
      </c>
      <c r="G85" s="4">
        <v>1.17</v>
      </c>
      <c r="H85" s="140" t="s">
        <v>174</v>
      </c>
      <c r="I85" s="200">
        <f t="shared" si="1"/>
        <v>-7.9999999999999849E-2</v>
      </c>
      <c r="J85" s="203"/>
    </row>
    <row r="86" spans="2:10" x14ac:dyDescent="0.35">
      <c r="B86" s="197"/>
      <c r="C86" s="194">
        <v>3.8</v>
      </c>
      <c r="D86" s="4">
        <v>640</v>
      </c>
      <c r="E86" s="4">
        <v>1.1499999999999999</v>
      </c>
      <c r="F86" s="141" t="s">
        <v>147</v>
      </c>
      <c r="G86" s="4">
        <v>1.19</v>
      </c>
      <c r="H86" s="142" t="s">
        <v>148</v>
      </c>
      <c r="I86" s="200">
        <f t="shared" si="1"/>
        <v>-4.0000000000000036E-2</v>
      </c>
      <c r="J86" s="203"/>
    </row>
    <row r="87" spans="2:10" x14ac:dyDescent="0.35">
      <c r="B87" s="197"/>
      <c r="C87" s="194">
        <v>4</v>
      </c>
      <c r="D87" s="4">
        <v>640</v>
      </c>
      <c r="E87" s="4">
        <v>1.22</v>
      </c>
      <c r="F87" s="143" t="s">
        <v>148</v>
      </c>
      <c r="G87" s="4">
        <v>1.22</v>
      </c>
      <c r="H87" s="144" t="s">
        <v>175</v>
      </c>
      <c r="I87" s="200">
        <f t="shared" si="1"/>
        <v>0</v>
      </c>
      <c r="J87" s="203"/>
    </row>
    <row r="88" spans="2:10" x14ac:dyDescent="0.35">
      <c r="B88" s="197"/>
      <c r="C88" s="194">
        <v>4.2</v>
      </c>
      <c r="D88" s="4">
        <v>640</v>
      </c>
      <c r="E88" s="4">
        <v>1.3</v>
      </c>
      <c r="F88" s="145" t="s">
        <v>149</v>
      </c>
      <c r="G88" s="4">
        <v>1.4</v>
      </c>
      <c r="H88" s="101" t="s">
        <v>124</v>
      </c>
      <c r="I88" s="200">
        <f t="shared" si="1"/>
        <v>-9.9999999999999867E-2</v>
      </c>
      <c r="J88" s="203"/>
    </row>
    <row r="89" spans="2:10" x14ac:dyDescent="0.35">
      <c r="B89" s="197"/>
      <c r="C89" s="194">
        <v>4.4000000000000004</v>
      </c>
      <c r="D89" s="4">
        <v>640</v>
      </c>
      <c r="E89" s="4">
        <v>1.39</v>
      </c>
      <c r="F89" s="146" t="s">
        <v>150</v>
      </c>
      <c r="G89" s="4">
        <v>1.57</v>
      </c>
      <c r="H89" s="147" t="s">
        <v>176</v>
      </c>
      <c r="I89" s="200">
        <f t="shared" si="1"/>
        <v>-0.18000000000000016</v>
      </c>
      <c r="J89" s="203"/>
    </row>
    <row r="90" spans="2:10" x14ac:dyDescent="0.35">
      <c r="B90" s="197"/>
      <c r="C90" s="194">
        <v>4.5999999999999996</v>
      </c>
      <c r="D90" s="4">
        <v>640</v>
      </c>
      <c r="E90" s="4">
        <v>1.39</v>
      </c>
      <c r="F90" s="148" t="s">
        <v>151</v>
      </c>
      <c r="G90" s="4">
        <v>1.55</v>
      </c>
      <c r="H90" s="149" t="s">
        <v>177</v>
      </c>
      <c r="I90" s="200">
        <f t="shared" si="1"/>
        <v>-0.16000000000000014</v>
      </c>
      <c r="J90" s="203"/>
    </row>
    <row r="91" spans="2:10" x14ac:dyDescent="0.35">
      <c r="B91" s="197"/>
      <c r="C91" s="194">
        <v>4.8</v>
      </c>
      <c r="D91" s="4">
        <v>640</v>
      </c>
      <c r="E91" s="4">
        <v>1.52</v>
      </c>
      <c r="F91" s="150" t="s">
        <v>152</v>
      </c>
      <c r="G91" s="4">
        <v>1.54</v>
      </c>
      <c r="H91" s="151" t="s">
        <v>178</v>
      </c>
      <c r="I91" s="200">
        <f t="shared" si="1"/>
        <v>-2.0000000000000018E-2</v>
      </c>
      <c r="J91" s="203"/>
    </row>
    <row r="92" spans="2:10" x14ac:dyDescent="0.35">
      <c r="B92" s="197"/>
      <c r="C92" s="194">
        <v>5</v>
      </c>
      <c r="D92" s="4">
        <v>640</v>
      </c>
      <c r="E92" s="4">
        <v>1.52</v>
      </c>
      <c r="F92" s="152" t="s">
        <v>153</v>
      </c>
      <c r="G92" s="4">
        <v>1.54</v>
      </c>
      <c r="H92" s="153" t="s">
        <v>179</v>
      </c>
      <c r="I92" s="200">
        <f t="shared" si="1"/>
        <v>-2.0000000000000018E-2</v>
      </c>
      <c r="J92" s="203"/>
    </row>
    <row r="93" spans="2:10" x14ac:dyDescent="0.35">
      <c r="B93" s="197"/>
      <c r="C93" s="194">
        <v>5.2</v>
      </c>
      <c r="D93" s="4">
        <v>640</v>
      </c>
      <c r="E93" s="4">
        <v>1.69</v>
      </c>
      <c r="F93" s="154" t="s">
        <v>154</v>
      </c>
      <c r="G93" s="4">
        <v>1.58</v>
      </c>
      <c r="H93" s="155" t="s">
        <v>180</v>
      </c>
      <c r="I93" s="200">
        <f t="shared" si="1"/>
        <v>0.10999999999999988</v>
      </c>
      <c r="J93" s="203"/>
    </row>
    <row r="94" spans="2:10" x14ac:dyDescent="0.35">
      <c r="B94" s="197"/>
      <c r="C94" s="194">
        <v>5.4</v>
      </c>
      <c r="D94" s="4">
        <v>640</v>
      </c>
      <c r="E94" s="4">
        <v>1.69</v>
      </c>
      <c r="F94" s="156" t="s">
        <v>155</v>
      </c>
      <c r="G94" s="4">
        <v>1.68</v>
      </c>
      <c r="H94" s="157" t="s">
        <v>181</v>
      </c>
      <c r="I94" s="200">
        <f t="shared" si="1"/>
        <v>1.0000000000000009E-2</v>
      </c>
      <c r="J94" s="203"/>
    </row>
    <row r="95" spans="2:10" x14ac:dyDescent="0.35">
      <c r="B95" s="197"/>
      <c r="C95" s="194">
        <v>5.6</v>
      </c>
      <c r="D95" s="4">
        <v>640</v>
      </c>
      <c r="E95" s="4">
        <v>1.69</v>
      </c>
      <c r="F95" s="158" t="s">
        <v>156</v>
      </c>
      <c r="G95" s="4">
        <v>1.74</v>
      </c>
      <c r="H95" s="159" t="s">
        <v>182</v>
      </c>
      <c r="I95" s="200">
        <f t="shared" si="1"/>
        <v>-5.0000000000000044E-2</v>
      </c>
      <c r="J95" s="203"/>
    </row>
    <row r="96" spans="2:10" x14ac:dyDescent="0.35">
      <c r="B96" s="197"/>
      <c r="C96" s="194">
        <v>5.8</v>
      </c>
      <c r="D96" s="4">
        <v>640</v>
      </c>
      <c r="E96" s="4">
        <v>1.69</v>
      </c>
      <c r="F96" s="160" t="s">
        <v>157</v>
      </c>
      <c r="G96" s="4">
        <v>1.79</v>
      </c>
      <c r="H96" s="161" t="s">
        <v>183</v>
      </c>
      <c r="I96" s="200">
        <f t="shared" si="1"/>
        <v>-0.10000000000000009</v>
      </c>
      <c r="J96" s="203"/>
    </row>
    <row r="97" spans="2:10" x14ac:dyDescent="0.35">
      <c r="B97" s="197"/>
      <c r="C97" s="194">
        <v>6</v>
      </c>
      <c r="D97" s="4">
        <v>640</v>
      </c>
      <c r="E97" s="4">
        <v>1.69</v>
      </c>
      <c r="F97" s="160" t="s">
        <v>157</v>
      </c>
      <c r="G97" s="4">
        <v>1.82</v>
      </c>
      <c r="H97" s="162" t="s">
        <v>184</v>
      </c>
      <c r="I97" s="200">
        <f t="shared" si="1"/>
        <v>-0.13000000000000012</v>
      </c>
      <c r="J97" s="203"/>
    </row>
    <row r="98" spans="2:10" x14ac:dyDescent="0.35">
      <c r="B98" s="197"/>
      <c r="C98" s="194">
        <v>6.2</v>
      </c>
      <c r="D98" s="4">
        <v>640</v>
      </c>
      <c r="E98" s="4">
        <v>2</v>
      </c>
      <c r="F98" s="163" t="s">
        <v>158</v>
      </c>
      <c r="G98" s="4">
        <v>1.85</v>
      </c>
      <c r="H98" s="164" t="s">
        <v>185</v>
      </c>
      <c r="I98" s="200">
        <f t="shared" si="1"/>
        <v>0.14999999999999991</v>
      </c>
      <c r="J98" s="203"/>
    </row>
    <row r="99" spans="2:10" ht="15" thickBot="1" x14ac:dyDescent="0.4">
      <c r="B99" s="198"/>
      <c r="C99" s="195">
        <v>6.4</v>
      </c>
      <c r="D99" s="167">
        <v>640</v>
      </c>
      <c r="E99" s="167">
        <v>2</v>
      </c>
      <c r="F99" s="168" t="s">
        <v>159</v>
      </c>
      <c r="G99" s="167">
        <v>1.85</v>
      </c>
      <c r="H99" s="169" t="s">
        <v>185</v>
      </c>
      <c r="I99" s="201">
        <f t="shared" si="1"/>
        <v>0.14999999999999991</v>
      </c>
      <c r="J99" s="204"/>
    </row>
    <row r="100" spans="2:10" x14ac:dyDescent="0.35">
      <c r="B100" s="192"/>
    </row>
    <row r="101" spans="2:10" ht="21" x14ac:dyDescent="0.5">
      <c r="B101" s="2" t="s">
        <v>187</v>
      </c>
      <c r="C101" s="2"/>
      <c r="D101" s="2"/>
      <c r="E101" s="2"/>
      <c r="F101" s="2"/>
      <c r="G101" s="2"/>
      <c r="H101" s="2"/>
      <c r="I101" s="2"/>
      <c r="J101" s="3">
        <f>AVERAGE(J68,J48,J27,J14,J3)</f>
        <v>3.4766666666666654E-2</v>
      </c>
    </row>
  </sheetData>
  <mergeCells count="11">
    <mergeCell ref="B68:B99"/>
    <mergeCell ref="J3:J12"/>
    <mergeCell ref="J14:J25"/>
    <mergeCell ref="J27:J46"/>
    <mergeCell ref="J48:J66"/>
    <mergeCell ref="J68:J99"/>
    <mergeCell ref="B101:I101"/>
    <mergeCell ref="B3:B12"/>
    <mergeCell ref="B14:B25"/>
    <mergeCell ref="B27:B46"/>
    <mergeCell ref="B48:B6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Harshith Raju</dc:creator>
  <cp:lastModifiedBy>M Harshith Raju</cp:lastModifiedBy>
  <dcterms:created xsi:type="dcterms:W3CDTF">2026-04-16T02:10:41Z</dcterms:created>
  <dcterms:modified xsi:type="dcterms:W3CDTF">2026-04-26T15:08:12Z</dcterms:modified>
</cp:coreProperties>
</file>